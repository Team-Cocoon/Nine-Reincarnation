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<sst xmlns="http://schemas.openxmlformats.org/spreadsheetml/2006/main" count="615" uniqueCount="263">
  <si>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</si>
  <si>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</si>
  <si>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</si>
  <si>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</si>
  <si>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</si>
  <si>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</si>
  <si>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</si>
  <si>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</si>
  <si>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</si>
  <si>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</si>
  <si>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</si>
  <si>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</si>
  <si>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</si>
  <si>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</si>
  <si>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</si>
  <si>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</si>
  <si>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</si>
  <si>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</si>
  <si>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</si>
  <si>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</si>
  <si>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</si>
  <si>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</si>
  <si>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</si>
  <si>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</si>
  <si>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</si>
  <si>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</si>
  <si>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</si>
  <si>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</si>
  <si>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</si>
  <si>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</si>
  <si>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</si>
  <si>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</si>
  <si>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</si>
  <si>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</si>
  <si>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</si>
  <si>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</si>
  <si>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</si>
  <si>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</si>
  <si>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</si>
  <si>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</si>
  <si>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</si>
  <si>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</si>
  <si>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</si>
  <si>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</si>
  <si>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</si>
  <si>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</si>
  <si>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</si>
  <si>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</si>
  <si>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</si>
  <si>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</si>
  <si>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</si>
  <si>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</si>
  <si>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</si>
  <si>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</si>
  <si>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</si>
  <si>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</si>
  <si>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</si>
  <si>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</si>
  <si>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</si>
  <si>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</si>
  <si>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</si>
  <si>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</si>
  <si>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</si>
  <si>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</si>
  <si>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</si>
  <si>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</si>
  <si>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</si>
  <si>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</si>
  <si>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</si>
  <si>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</si>
  <si>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</si>
  <si>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</si>
  <si>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</si>
  <si>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</si>
  <si>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</si>
  <si>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</si>
  <si>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</si>
  <si>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</si>
  <si>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</si>
  <si>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</si>
  <si>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</si>
  <si>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</si>
  <si>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</si>
  <si>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</si>
  <si>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</si>
  <si>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</si>
  <si>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</si>
  <si>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</si>
  <si>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</si>
  <si>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</si>
  <si>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</si>
  <si>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</si>
  <si>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</si>
  <si>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</si>
  <si>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</si>
  <si>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</si>
  <si>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</si>
  <si>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</si>
  <si>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</si>
  <si>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</si>
  <si>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</si>
  <si>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</si>
  <si>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</si>
  <si>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</si>
  <si>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</si>
  <si>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</si>
  <si>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</si>
  <si>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</si>
  <si>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</si>
  <si>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</si>
  <si>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</si>
  <si>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</si>
  <si>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</si>
  <si>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</si>
  <si>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</si>
  <si>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</si>
  <si>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</si>
  <si>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</si>
  <si>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</si>
  <si>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</si>
  <si>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</si>
  <si>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</si>
  <si>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</si>
  <si>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</si>
  <si>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</si>
  <si>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</si>
  <si>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</si>
  <si>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</si>
  <si>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</si>
  <si>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</si>
  <si>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</si>
  <si>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</si>
  <si>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</si>
  <si>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</si>
  <si>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</si>
  <si>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</si>
  <si>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</si>
  <si>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</si>
  <si>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</si>
  <si>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</si>
  <si>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</si>
  <si>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</si>
  <si>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</si>
  <si>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</si>
  <si>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</si>
  <si>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</si>
  <si>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</si>
  <si>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</si>
  <si>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</si>
  <si>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</si>
  <si>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</si>
  <si>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</si>
  <si>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</si>
  <si>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</si>
  <si>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</si>
  <si>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</si>
  <si>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</si>
  <si>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</si>
  <si>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</si>
  <si>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</si>
  <si>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</si>
  <si>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</si>
  <si>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</si>
  <si>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</si>
  <si>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</si>
  <si>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</si>
  <si>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</si>
  <si>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</si>
  <si>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</si>
  <si>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</si>
  <si>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</si>
  <si>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</si>
  <si>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</si>
  <si>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</si>
  <si>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</si>
  <si>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</si>
  <si>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</si>
  <si>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</si>
  <si>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</si>
  <si>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</si>
  <si>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</si>
  <si>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</si>
  <si>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</si>
  <si>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</si>
  <si>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</si>
  <si>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</si>
  <si>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</si>
  <si>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</si>
  <si>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</si>
  <si>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</si>
  <si>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</si>
  <si>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</si>
  <si>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</si>
  <si>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</si>
  <si>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</si>
  <si>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</si>
  <si>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</si>
  <si>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</si>
  <si>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</si>
  <si>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</si>
  <si>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</si>
  <si>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</si>
  <si>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</si>
  <si>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</si>
  <si>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</si>
  <si>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</si>
  <si>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</si>
  <si>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</si>
  <si>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</si>
  <si>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</si>
  <si>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</si>
  <si>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</si>
  <si>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</si>
  <si>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</si>
  <si>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</si>
  <si>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</si>
  <si>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</si>
  <si>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</si>
  <si>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</si>
  <si>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</si>
  <si>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</si>
  <si>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</si>
  <si>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</si>
  <si>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</si>
  <si>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</si>
  <si>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</si>
  <si>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</si>
  <si>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&lt;color=#D80101&gt;홍연&lt;/color&gt;과 어디로 이어진지 모른 채 길게 늘어진 &lt;color=#001AFF&gt;청연&lt;/color&gt;이 보이는구나.</t>
  </si>
  <si>
    <t>무엇을 물을까?</t>
  </si>
  <si>
    <t>&lt;color=#D80101&gt;홍연&lt;/color&gt;이요?</t>
  </si>
  <si>
    <t>&lt;color=#001AFF&gt;청연&lt;/color&gt;이요?</t>
  </si>
  <si>
    <t xml:space="preserve">{fade a=3.5}&lt;color=#D80101&gt;붉은색 인연의 실&lt;/color&gt;로,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</si>
  <si>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</si>
  <si>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실&lt;/color&gt;로,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</si>
  <si>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</si>
  <si>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</si>
  <si>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</si>
  <si>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</si>
  <si>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</si>
  <si>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</si>
  <si>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</si>
  <si>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</si>
  <si>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</si>
  <si>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</si>
  <si>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</si>
  <si>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</si>
  <si>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&lt;color=#D80101&gt;홍연&lt;/color&gt;과 &lt;color=#001AFF&gt;청연.&lt;/color&gt;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</si>
  <si>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</si>
  <si>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</si>
  <si>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</si>
  <si>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</si>
  <si>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</si>
  <si>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</si>
  <si>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</si>
  <si>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</si>
  <si>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</si>
  <si>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</si>
  <si>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</si>
  <si>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</si>
  <si>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</si>
  <si>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</si>
  <si>
    <t>카메라 페이드 아웃</t>
  </si>
  <si>
    <t>FadeOut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</si>
</sst>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6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3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  <row r="27">
      <c r="A27" s="5" t="s">
        <v>69</v>
      </c>
    </row>
    <row r="28">
      <c r="A28" s="4" t="s">
        <v>70</v>
      </c>
    </row>
    <row r="29">
      <c r="A29" s="4" t="s">
        <v>71</v>
      </c>
    </row>
    <row r="30">
      <c r="A30" s="4" t="s">
        <v>72</v>
      </c>
    </row>
    <row r="32">
      <c r="A32" s="4" t="s">
        <v>73</v>
      </c>
    </row>
    <row r="33">
      <c r="A33" s="4" t="s">
        <v>74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75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76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77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78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79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80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81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82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83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84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85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86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/>
      <c r="D17" s="6">
        <f>IFERROR(__xludf.DUMMYFUNCTION("""COMPUTED_VALUE"""),101017.0)</f>
        <v>101017</v>
      </c>
      <c r="E17" s="33" t="s">
        <v>87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IFERROR(__xludf.DUMMYFUNCTION("""COMPUTED_VALUE"""),"Camera, Parallel")</f>
        <v>Camera, Parallel</v>
      </c>
      <c r="C18" s="6">
        <f>IFERROR(__xludf.DUMMYFUNCTION("""COMPUTED_VALUE"""),1.0)</f>
        <v>1</v>
      </c>
      <c r="D18" s="6">
        <f>IFERROR(__xludf.DUMMYFUNCTION("""COMPUTED_VALUE"""),101018.0)</f>
        <v>101018</v>
      </c>
      <c r="E18" s="6" t="s">
        <v>83</v>
      </c>
    </row>
    <row r="19">
      <c r="A19" s="6">
        <f>IFERROR(__xludf.DUMMYFUNCTION("""COMPUTED_VALUE"""),101018.0)</f>
        <v>101018</v>
      </c>
      <c r="B19" s="6" t="str">
        <f>IFERROR(__xludf.DUMMYFUNCTION("""COMPUTED_VALUE"""),"Camera")</f>
        <v>Camera</v>
      </c>
      <c r="C19" s="32">
        <f>IFERROR(__xludf.DUMMYFUNCTION("""COMPUTED_VALUE"""),2.0)</f>
        <v>2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IFERROR(__xludf.DUMMYFUNCTION("""COMPUTED_VALUE"""),"Animation, Event")</f>
        <v>Animation, Event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88</v>
      </c>
    </row>
    <row r="21">
      <c r="A21" s="32">
        <f>IFERROR(__xludf.DUMMYFUNCTION("""COMPUTED_VALUE"""),101020.0)</f>
        <v>101020</v>
      </c>
      <c r="B21" s="34" t="str">
        <f>IFERROR(__xludf.DUMMYFUNCTION("""COMPUTED_VALUE"""),"Bubble, Camera")</f>
        <v>Bubble, Camera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IFERROR(__xludf.DUMMYFUNCTION("""COMPUTED_VALUE"""),"Animation")</f>
        <v>Animation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IFERROR(__xludf.DUMMYFUNCTION("""COMPUTED_VALUE"""),"Event")</f>
        <v>Event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IFERROR(__xludf.DUMMYFUNCTION("""COMPUTED_VALUE"""),0.0)</f>
        <v>0</v>
      </c>
      <c r="D25" s="34">
        <f>IFERROR(__xludf.DUMMYFUNCTION("""COMPUTED_VALUE"""),101025.0)</f>
        <v>101025</v>
      </c>
      <c r="E25" s="4" t="s">
        <v>88</v>
      </c>
    </row>
    <row r="26">
      <c r="A26" s="32">
        <f>IFERROR(__xludf.DUMMYFUNCTION("""COMPUTED_VALUE"""),101025.0)</f>
        <v>101025</v>
      </c>
      <c r="B26" s="34" t="str">
        <f>IFERROR(__xludf.DUMMYFUNCTION("""COMPUTED_VALUE"""),"Animation")</f>
        <v>Animation</v>
      </c>
      <c r="C26" s="34">
        <f>IFERROR(__xludf.DUMMYFUNCTION("""COMPUTED_VALUE"""),1.0)</f>
        <v>1</v>
      </c>
      <c r="D26" s="34">
        <f>IFERROR(__xludf.DUMMYFUNCTION("""COMPUTED_VALUE"""),101026.0)</f>
        <v>101026</v>
      </c>
    </row>
    <row r="27">
      <c r="A27" s="32">
        <f>IFERROR(__xludf.DUMMYFUNCTION("""COMPUTED_VALUE"""),101026.0)</f>
        <v>101026</v>
      </c>
      <c r="B27" s="34" t="str">
        <f>IFERROR(__xludf.DUMMYFUNCTION("""COMPUTED_VALUE"""),"Select")</f>
        <v>Select</v>
      </c>
      <c r="C27" s="34">
        <f>IFERROR(__xludf.DUMMYFUNCTION("""COMPUTED_VALUE"""),0.0)</f>
        <v>0</v>
      </c>
      <c r="D27" s="34">
        <f>IFERROR(__xludf.DUMMYFUNCTION("""COMPUTED_VALUE"""),0.0)</f>
        <v>0</v>
      </c>
    </row>
    <row r="28">
      <c r="A28" s="32">
        <f>IFERROR(__xludf.DUMMYFUNCTION("""COMPUTED_VALUE"""),1010261.0)</f>
        <v>1010261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IFERROR(__xludf.DUMMYFUNCTION("""COMPUTED_VALUE"""),101027.0)</f>
        <v>101027</v>
      </c>
    </row>
    <row r="29">
      <c r="A29" s="32">
        <f>IFERROR(__xludf.DUMMYFUNCTION("""COMPUTED_VALUE"""),1010262.0)</f>
        <v>1010262</v>
      </c>
      <c r="B29" s="34" t="str">
        <f>IFERROR(__xludf.DUMMYFUNCTION("""COMPUTED_VALUE"""),"Script")</f>
        <v>Script</v>
      </c>
      <c r="C29" s="34">
        <f>IFERROR(__xludf.DUMMYFUNCTION("""COMPUTED_VALUE"""),0.0)</f>
        <v>0</v>
      </c>
      <c r="D29" s="34">
        <f>IFERROR(__xludf.DUMMYFUNCTION("""COMPUTED_VALUE"""),101030.0)</f>
        <v>101030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IFERROR(__xludf.DUMMYFUNCTION("""COMPUTED_VALUE"""),"Animation, Camera")</f>
        <v>Animation, Camera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IFERROR(__xludf.DUMMYFUNCTION("""COMPUTED_VALUE"""),"Animation, Parallel")</f>
        <v>Animation, Parallel</v>
      </c>
      <c r="C31" s="34">
        <f>IFERROR(__xludf.DUMMYFUNCTION("""COMPUTED_VALUE"""),0.0)</f>
        <v>0</v>
      </c>
      <c r="D31" s="34">
        <f>IFERROR(__xludf.DUMMYFUNCTION("""COMPUTED_VALUE"""),101029.0)</f>
        <v>101029</v>
      </c>
    </row>
    <row r="32">
      <c r="A32" s="32">
        <f>IFERROR(__xludf.DUMMYFUNCTION("""COMPUTED_VALUE"""),101029.0)</f>
        <v>101029</v>
      </c>
      <c r="B32" s="34" t="str">
        <f>IFERROR(__xludf.DUMMYFUNCTION("""COMPUTED_VALUE"""),"Camera")</f>
        <v>Camera</v>
      </c>
      <c r="C32" s="34">
        <f>IFERROR(__xludf.DUMMYFUNCTION("""COMPUTED_VALUE"""),0.0)</f>
        <v>0</v>
      </c>
      <c r="D32" s="34">
        <f>IFERROR(__xludf.DUMMYFUNCTION("""COMPUTED_VALUE"""),101026.0)</f>
        <v>101026</v>
      </c>
    </row>
    <row r="33">
      <c r="A33" s="32">
        <f>IFERROR(__xludf.DUMMYFUNCTION("""COMPUTED_VALUE"""),101030.0)</f>
        <v>101030</v>
      </c>
      <c r="B33" s="34" t="str">
        <f>IFERROR(__xludf.DUMMYFUNCTION("""COMPUTED_VALUE"""),"Animation, Camera")</f>
        <v>Animation, Camera</v>
      </c>
      <c r="C33" s="34">
        <f>IFERROR(__xludf.DUMMYFUNCTION("""COMPUTED_VALUE"""),2.0)</f>
        <v>2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IFERROR(__xludf.DUMMYFUNCTION("""COMPUTED_VALUE"""),"Animation, Parallel")</f>
        <v>Animation, Parallel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IFERROR(__xludf.DUMMYFUNCTION("""COMPUTED_VALUE"""),"Event")</f>
        <v>Event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IFERROR(__xludf.DUMMYFUNCTION("""COMPUTED_VALUE"""),"Script")</f>
        <v>Script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IFERROR(__xludf.DUMMYFUNCTION("""COMPUTED_VALUE"""),"Camera")</f>
        <v>Camera</v>
      </c>
      <c r="C38" s="34">
        <f>IFERROR(__xludf.DUMMYFUNCTION("""COMPUTED_VALUE"""),0.0)</f>
        <v>0</v>
      </c>
      <c r="D38" s="34">
        <f>IFERROR(__xludf.DUMMYFUNCTION("""COMPUTED_VALUE"""),101036.0)</f>
        <v>101036</v>
      </c>
    </row>
    <row r="39">
      <c r="A39" s="34">
        <f>IFERROR(__xludf.DUMMYFUNCTION("""COMPUTED_VALUE"""),101036.0)</f>
        <v>101036</v>
      </c>
      <c r="B39" s="34" t="str">
        <f>IFERROR(__xludf.DUMMYFUNCTION("""COMPUTED_VALUE"""),"End")</f>
        <v>End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IFERROR(__xludf.DUMMYFUNCTION("""COMPUTED_VALUE"""),102001.0)</f>
        <v>102001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>
        <f>IFERROR(__xludf.DUMMYFUNCTION("""COMPUTED_VALUE"""),102002.0)</f>
        <v>102002</v>
      </c>
    </row>
    <row r="41">
      <c r="A41" s="34">
        <f>IFERROR(__xludf.DUMMYFUNCTION("""COMPUTED_VALUE"""),102002.0)</f>
        <v>102002</v>
      </c>
      <c r="B41" s="34" t="str">
        <f>IFERROR(__xludf.DUMMYFUNCTION("""COMPUTED_VALUE"""),"Camera, Parallel")</f>
        <v>Camera, Parallel</v>
      </c>
      <c r="C41" s="34">
        <f>IFERROR(__xludf.DUMMYFUNCTION("""COMPUTED_VALUE"""),0.0)</f>
        <v>0</v>
      </c>
      <c r="D41" s="34">
        <f>IFERROR(__xludf.DUMMYFUNCTION("""COMPUTED_VALUE"""),102003.0)</f>
        <v>102003</v>
      </c>
    </row>
    <row r="42">
      <c r="A42" s="34">
        <f>IFERROR(__xludf.DUMMYFUNCTION("""COMPUTED_VALUE"""),102003.0)</f>
        <v>102003</v>
      </c>
      <c r="B42" s="34" t="str">
        <f>IFERROR(__xludf.DUMMYFUNCTION("""COMPUTED_VALUE"""),"Event")</f>
        <v>Event</v>
      </c>
      <c r="C42" s="34">
        <f>IFERROR(__xludf.DUMMYFUNCTION("""COMPUTED_VALUE"""),0.0)</f>
        <v>0</v>
      </c>
      <c r="D42" s="34">
        <f>IFERROR(__xludf.DUMMYFUNCTION("""COMPUTED_VALUE"""),102004.0)</f>
        <v>102004</v>
      </c>
    </row>
    <row r="43">
      <c r="A43" s="34">
        <f>IFERROR(__xludf.DUMMYFUNCTION("""COMPUTED_VALUE"""),102004.0)</f>
        <v>102004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>
        <f>IFERROR(__xludf.DUMMYFUNCTION("""COMPUTED_VALUE"""),102005.0)</f>
        <v>102005</v>
      </c>
    </row>
    <row r="44">
      <c r="A44" s="34">
        <f>IFERROR(__xludf.DUMMYFUNCTION("""COMPUTED_VALUE"""),102005.0)</f>
        <v>102005</v>
      </c>
      <c r="B44" s="34" t="str">
        <f>IFERROR(__xludf.DUMMYFUNCTION("""COMPUTED_VALUE"""),"Camera")</f>
        <v>Camera</v>
      </c>
      <c r="C44" s="34">
        <f>IFERROR(__xludf.DUMMYFUNCTION("""COMPUTED_VALUE"""),0.0)</f>
        <v>0</v>
      </c>
      <c r="D44" s="34">
        <f>IFERROR(__xludf.DUMMYFUNCTION("""COMPUTED_VALUE"""),102006.0)</f>
        <v>102006</v>
      </c>
    </row>
    <row r="45">
      <c r="A45" s="34">
        <f>IFERROR(__xludf.DUMMYFUNCTION("""COMPUTED_VALUE"""),102006.0)</f>
        <v>102006</v>
      </c>
      <c r="B45" s="34" t="str">
        <f>IFERROR(__xludf.DUMMYFUNCTION("""COMPUTED_VALUE"""),"End")</f>
        <v>End</v>
      </c>
      <c r="C45" s="34">
        <f>IFERROR(__xludf.DUMMYFUNCTION("""COMPUTED_VALUE"""),0.0)</f>
        <v>0</v>
      </c>
      <c r="D45" s="34"/>
    </row>
    <row r="46">
      <c r="A46" s="34">
        <f>IFERROR(__xludf.DUMMYFUNCTION("""COMPUTED_VALUE"""),103001.0)</f>
        <v>103001</v>
      </c>
      <c r="B46" s="34" t="str">
        <f>IFERROR(__xludf.DUMMYFUNCTION("""COMPUTED_VALUE"""),"Event")</f>
        <v>Event</v>
      </c>
      <c r="C46" s="34">
        <f>IFERROR(__xludf.DUMMYFUNCTION("""COMPUTED_VALUE"""),1.0)</f>
        <v>1</v>
      </c>
      <c r="D46" s="34">
        <f>IFERROR(__xludf.DUMMYFUNCTION("""COMPUTED_VALUE"""),103002.0)</f>
        <v>103002</v>
      </c>
    </row>
    <row r="47">
      <c r="A47" s="34">
        <f>IFERROR(__xludf.DUMMYFUNCTION("""COMPUTED_VALUE"""),103002.0)</f>
        <v>103002</v>
      </c>
      <c r="B47" s="34" t="str">
        <f>IFERROR(__xludf.DUMMYFUNCTION("""COMPUTED_VALUE"""),"Camera")</f>
        <v>Camera</v>
      </c>
      <c r="C47" s="34">
        <f>IFERROR(__xludf.DUMMYFUNCTION("""COMPUTED_VALUE"""),1.0)</f>
        <v>1</v>
      </c>
      <c r="D47" s="34">
        <f>IFERROR(__xludf.DUMMYFUNCTION("""COMPUTED_VALUE"""),103003.0)</f>
        <v>103003</v>
      </c>
    </row>
    <row r="48">
      <c r="A48" s="34">
        <f>IFERROR(__xludf.DUMMYFUNCTION("""COMPUTED_VALUE"""),103003.0)</f>
        <v>103003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IFERROR(__xludf.DUMMYFUNCTION("""COMPUTED_VALUE"""),103004.0)</f>
        <v>103004</v>
      </c>
    </row>
    <row r="49">
      <c r="A49" s="34">
        <f>IFERROR(__xludf.DUMMYFUNCTION("""COMPUTED_VALUE"""),103004.0)</f>
        <v>103004</v>
      </c>
      <c r="B49" s="34" t="str">
        <f>IFERROR(__xludf.DUMMYFUNCTION("""COMPUTED_VALUE"""),"Script")</f>
        <v>Script</v>
      </c>
      <c r="C49" s="34">
        <f>IFERROR(__xludf.DUMMYFUNCTION("""COMPUTED_VALUE"""),0.0)</f>
        <v>0</v>
      </c>
      <c r="D49" s="34">
        <f>IFERROR(__xludf.DUMMYFUNCTION("""COMPUTED_VALUE"""),103005.0)</f>
        <v>103005</v>
      </c>
    </row>
    <row r="50">
      <c r="A50" s="34">
        <f>IFERROR(__xludf.DUMMYFUNCTION("""COMPUTED_VALUE"""),103005.0)</f>
        <v>103005</v>
      </c>
      <c r="B50" s="34" t="str">
        <f>IFERROR(__xludf.DUMMYFUNCTION("""COMPUTED_VALUE"""),"Camera")</f>
        <v>Camera</v>
      </c>
      <c r="C50" s="34">
        <f>IFERROR(__xludf.DUMMYFUNCTION("""COMPUTED_VALUE"""),0.0)</f>
        <v>0</v>
      </c>
      <c r="D50" s="34">
        <f>IFERROR(__xludf.DUMMYFUNCTION("""COMPUTED_VALUE"""),103006.0)</f>
        <v>103006</v>
      </c>
    </row>
    <row r="51">
      <c r="A51" s="34">
        <f>IFERROR(__xludf.DUMMYFUNCTION("""COMPUTED_VALUE"""),103006.0)</f>
        <v>103006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IFERROR(__xludf.DUMMYFUNCTION("""COMPUTED_VALUE"""),103007.0)</f>
        <v>103007</v>
      </c>
    </row>
    <row r="52">
      <c r="A52" s="34">
        <f>IFERROR(__xludf.DUMMYFUNCTION("""COMPUTED_VALUE"""),103007.0)</f>
        <v>103007</v>
      </c>
      <c r="B52" s="34" t="str">
        <f>IFERROR(__xludf.DUMMYFUNCTION("""COMPUTED_VALUE"""),"Event")</f>
        <v>Event</v>
      </c>
      <c r="C52" s="34">
        <f>IFERROR(__xludf.DUMMYFUNCTION("""COMPUTED_VALUE"""),0.0)</f>
        <v>0</v>
      </c>
      <c r="D52" s="34">
        <f>IFERROR(__xludf.DUMMYFUNCTION("""COMPUTED_VALUE"""),103008.0)</f>
        <v>103008</v>
      </c>
    </row>
    <row r="53">
      <c r="A53" s="34">
        <f>IFERROR(__xludf.DUMMYFUNCTION("""COMPUTED_VALUE"""),103008.0)</f>
        <v>103008</v>
      </c>
      <c r="B53" s="34" t="str">
        <f>IFERROR(__xludf.DUMMYFUNCTION("""COMPUTED_VALUE"""),"Animation")</f>
        <v>Animation</v>
      </c>
      <c r="C53" s="34">
        <f>IFERROR(__xludf.DUMMYFUNCTION("""COMPUTED_VALUE"""),1.0)</f>
        <v>1</v>
      </c>
      <c r="D53" s="34">
        <f>IFERROR(__xludf.DUMMYFUNCTION("""COMPUTED_VALUE"""),103009.0)</f>
        <v>103009</v>
      </c>
    </row>
    <row r="54">
      <c r="A54" s="34">
        <f>IFERROR(__xludf.DUMMYFUNCTION("""COMPUTED_VALUE"""),103009.0)</f>
        <v>103009</v>
      </c>
      <c r="B54" s="34" t="str">
        <f>IFERROR(__xludf.DUMMYFUNCTION("""COMPUTED_VALUE"""),"Animation")</f>
        <v>Animation</v>
      </c>
      <c r="C54" s="34">
        <f>IFERROR(__xludf.DUMMYFUNCTION("""COMPUTED_VALUE"""),0.0)</f>
        <v>0</v>
      </c>
      <c r="D54" s="34">
        <f>IFERROR(__xludf.DUMMYFUNCTION("""COMPUTED_VALUE"""),103010.0)</f>
        <v>103010</v>
      </c>
    </row>
    <row r="55">
      <c r="A55" s="34">
        <f>IFERROR(__xludf.DUMMYFUNCTION("""COMPUTED_VALUE"""),103010.0)</f>
        <v>103010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IFERROR(__xludf.DUMMYFUNCTION("""COMPUTED_VALUE"""),103011.0)</f>
        <v>103011</v>
      </c>
    </row>
    <row r="56">
      <c r="A56" s="34">
        <f>IFERROR(__xludf.DUMMYFUNCTION("""COMPUTED_VALUE"""),103011.0)</f>
        <v>103011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IFERROR(__xludf.DUMMYFUNCTION("""COMPUTED_VALUE"""),103012.0)</f>
        <v>103012</v>
      </c>
    </row>
    <row r="57">
      <c r="A57" s="34">
        <f>IFERROR(__xludf.DUMMYFUNCTION("""COMPUTED_VALUE"""),103012.0)</f>
        <v>103012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IFERROR(__xludf.DUMMYFUNCTION("""COMPUTED_VALUE"""),103013.0)</f>
        <v>103013</v>
      </c>
    </row>
    <row r="58">
      <c r="A58" s="34">
        <f>IFERROR(__xludf.DUMMYFUNCTION("""COMPUTED_VALUE"""),103013.0)</f>
        <v>103013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IFERROR(__xludf.DUMMYFUNCTION("""COMPUTED_VALUE"""),103014.0)</f>
        <v>103014</v>
      </c>
    </row>
    <row r="59">
      <c r="A59" s="34">
        <f>IFERROR(__xludf.DUMMYFUNCTION("""COMPUTED_VALUE"""),103014.0)</f>
        <v>103014</v>
      </c>
      <c r="B59" s="34" t="str">
        <f>IFERROR(__xludf.DUMMYFUNCTION("""COMPUTED_VALUE"""),"Event")</f>
        <v>Event</v>
      </c>
      <c r="C59" s="34">
        <f>IFERROR(__xludf.DUMMYFUNCTION("""COMPUTED_VALUE"""),0.0)</f>
        <v>0</v>
      </c>
      <c r="D59" s="34">
        <f>IFERROR(__xludf.DUMMYFUNCTION("""COMPUTED_VALUE"""),103015.0)</f>
        <v>103015</v>
      </c>
    </row>
    <row r="60">
      <c r="A60" s="34">
        <f>IFERROR(__xludf.DUMMYFUNCTION("""COMPUTED_VALUE"""),103015.0)</f>
        <v>103015</v>
      </c>
      <c r="B60" s="34" t="str">
        <f>IFERROR(__xludf.DUMMYFUNCTION("""COMPUTED_VALUE"""),"Camera")</f>
        <v>Camera</v>
      </c>
      <c r="C60" s="34">
        <f>IFERROR(__xludf.DUMMYFUNCTION("""COMPUTED_VALUE"""),0.0)</f>
        <v>0</v>
      </c>
      <c r="D60" s="34">
        <f>IFERROR(__xludf.DUMMYFUNCTION("""COMPUTED_VALUE"""),103016.0)</f>
        <v>103016</v>
      </c>
    </row>
    <row r="61">
      <c r="A61" s="34">
        <f>IFERROR(__xludf.DUMMYFUNCTION("""COMPUTED_VALUE"""),103016.0)</f>
        <v>103016</v>
      </c>
      <c r="B61" s="34" t="str">
        <f>IFERROR(__xludf.DUMMYFUNCTION("""COMPUTED_VALUE"""),"Animation")</f>
        <v>Animation</v>
      </c>
      <c r="C61" s="34">
        <f>IFERROR(__xludf.DUMMYFUNCTION("""COMPUTED_VALUE"""),0.0)</f>
        <v>0</v>
      </c>
      <c r="D61" s="34">
        <f>IFERROR(__xludf.DUMMYFUNCTION("""COMPUTED_VALUE"""),103017.0)</f>
        <v>103017</v>
      </c>
    </row>
    <row r="62">
      <c r="A62" s="34">
        <f>IFERROR(__xludf.DUMMYFUNCTION("""COMPUTED_VALUE"""),103017.0)</f>
        <v>103017</v>
      </c>
      <c r="B62" s="34" t="str">
        <f>IFERROR(__xludf.DUMMYFUNCTION("""COMPUTED_VALUE"""),"Animation, Parallel")</f>
        <v>Animation, Parallel</v>
      </c>
      <c r="C62" s="34">
        <f>IFERROR(__xludf.DUMMYFUNCTION("""COMPUTED_VALUE"""),2.0)</f>
        <v>2</v>
      </c>
      <c r="D62" s="34">
        <f>IFERROR(__xludf.DUMMYFUNCTION("""COMPUTED_VALUE"""),103018.0)</f>
        <v>103018</v>
      </c>
    </row>
    <row r="63">
      <c r="A63" s="34">
        <f>IFERROR(__xludf.DUMMYFUNCTION("""COMPUTED_VALUE"""),103018.0)</f>
        <v>103018</v>
      </c>
      <c r="B63" s="34" t="str">
        <f>IFERROR(__xludf.DUMMYFUNCTION("""COMPUTED_VALUE"""),"Script")</f>
        <v>Script</v>
      </c>
      <c r="C63" s="34">
        <f>IFERROR(__xludf.DUMMYFUNCTION("""COMPUTED_VALUE"""),0.0)</f>
        <v>0</v>
      </c>
      <c r="D63" s="34">
        <f>IFERROR(__xludf.DUMMYFUNCTION("""COMPUTED_VALUE"""),103019.0)</f>
        <v>103019</v>
      </c>
    </row>
    <row r="64">
      <c r="A64" s="34">
        <f>IFERROR(__xludf.DUMMYFUNCTION("""COMPUTED_VALUE"""),103019.0)</f>
        <v>103019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IFERROR(__xludf.DUMMYFUNCTION("""COMPUTED_VALUE"""),103020.0)</f>
        <v>103020</v>
      </c>
    </row>
    <row r="65">
      <c r="A65" s="34">
        <f>IFERROR(__xludf.DUMMYFUNCTION("""COMPUTED_VALUE"""),103020.0)</f>
        <v>103020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IFERROR(__xludf.DUMMYFUNCTION("""COMPUTED_VALUE"""),103021.0)</f>
        <v>103021</v>
      </c>
    </row>
    <row r="66">
      <c r="A66" s="34">
        <f>IFERROR(__xludf.DUMMYFUNCTION("""COMPUTED_VALUE"""),103021.0)</f>
        <v>103021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IFERROR(__xludf.DUMMYFUNCTION("""COMPUTED_VALUE"""),103022.0)</f>
        <v>103022</v>
      </c>
    </row>
    <row r="67">
      <c r="A67" s="34">
        <f>IFERROR(__xludf.DUMMYFUNCTION("""COMPUTED_VALUE"""),103022.0)</f>
        <v>103022</v>
      </c>
      <c r="B67" s="34" t="str">
        <f>IFERROR(__xludf.DUMMYFUNCTION("""COMPUTED_VALUE"""),"Bubble")</f>
        <v>Bubble</v>
      </c>
      <c r="C67" s="34">
        <f>IFERROR(__xludf.DUMMYFUNCTION("""COMPUTED_VALUE"""),0.0)</f>
        <v>0</v>
      </c>
      <c r="D67" s="34">
        <f>IFERROR(__xludf.DUMMYFUNCTION("""COMPUTED_VALUE"""),103023.0)</f>
        <v>103023</v>
      </c>
    </row>
    <row r="68">
      <c r="A68" s="34">
        <f>IFERROR(__xludf.DUMMYFUNCTION("""COMPUTED_VALUE"""),103023.0)</f>
        <v>103023</v>
      </c>
      <c r="B68" s="34" t="str">
        <f>IFERROR(__xludf.DUMMYFUNCTION("""COMPUTED_VALUE"""),"Bubble, Camera")</f>
        <v>Bubble, Camera</v>
      </c>
      <c r="C68" s="34">
        <f>IFERROR(__xludf.DUMMYFUNCTION("""COMPUTED_VALUE"""),0.0)</f>
        <v>0</v>
      </c>
      <c r="D68" s="34">
        <f>IFERROR(__xludf.DUMMYFUNCTION("""COMPUTED_VALUE"""),103024.0)</f>
        <v>103024</v>
      </c>
    </row>
    <row r="69">
      <c r="A69" s="34">
        <f>IFERROR(__xludf.DUMMYFUNCTION("""COMPUTED_VALUE"""),103024.0)</f>
        <v>103024</v>
      </c>
      <c r="B69" s="34" t="str">
        <f>IFERROR(__xludf.DUMMYFUNCTION("""COMPUTED_VALUE"""),"Camera")</f>
        <v>Camera</v>
      </c>
      <c r="C69" s="34">
        <f>IFERROR(__xludf.DUMMYFUNCTION("""COMPUTED_VALUE"""),0.0)</f>
        <v>0</v>
      </c>
      <c r="D69" s="34">
        <f>IFERROR(__xludf.DUMMYFUNCTION("""COMPUTED_VALUE"""),103025.0)</f>
        <v>103025</v>
      </c>
    </row>
    <row r="70">
      <c r="A70" s="34">
        <f>IFERROR(__xludf.DUMMYFUNCTION("""COMPUTED_VALUE"""),103025.0)</f>
        <v>103025</v>
      </c>
      <c r="B70" s="34" t="str">
        <f>IFERROR(__xludf.DUMMYFUNCTION("""COMPUTED_VALUE"""),"Event")</f>
        <v>Event</v>
      </c>
      <c r="C70" s="34">
        <f>IFERROR(__xludf.DUMMYFUNCTION("""COMPUTED_VALUE"""),0.0)</f>
        <v>0</v>
      </c>
      <c r="D70" s="34">
        <f>IFERROR(__xludf.DUMMYFUNCTION("""COMPUTED_VALUE"""),103026.0)</f>
        <v>103026</v>
      </c>
    </row>
    <row r="71">
      <c r="A71" s="34">
        <f>IFERROR(__xludf.DUMMYFUNCTION("""COMPUTED_VALUE"""),103026.0)</f>
        <v>103026</v>
      </c>
      <c r="B71" s="34" t="str">
        <f>IFERROR(__xludf.DUMMYFUNCTION("""COMPUTED_VALUE"""),"End")</f>
        <v>End</v>
      </c>
      <c r="C71" s="34">
        <f>IFERROR(__xludf.DUMMYFUNCTION("""COMPUTED_VALUE"""),0.0)</f>
        <v>0</v>
      </c>
      <c r="D71" s="34"/>
    </row>
    <row r="72">
      <c r="A72" s="34">
        <f>IFERROR(__xludf.DUMMYFUNCTION("""COMPUTED_VALUE"""),104001.0)</f>
        <v>104001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IFERROR(__xludf.DUMMYFUNCTION("""COMPUTED_VALUE"""),104002.0)</f>
        <v>104002</v>
      </c>
    </row>
    <row r="73">
      <c r="A73" s="34">
        <f>IFERROR(__xludf.DUMMYFUNCTION("""COMPUTED_VALUE"""),104002.0)</f>
        <v>104002</v>
      </c>
      <c r="B73" s="34" t="str">
        <f>IFERROR(__xludf.DUMMYFUNCTION("""COMPUTED_VALUE"""),"Camera")</f>
        <v>Camera</v>
      </c>
      <c r="C73" s="34">
        <f>IFERROR(__xludf.DUMMYFUNCTION("""COMPUTED_VALUE"""),0.0)</f>
        <v>0</v>
      </c>
      <c r="D73" s="34">
        <f>IFERROR(__xludf.DUMMYFUNCTION("""COMPUTED_VALUE"""),104003.0)</f>
        <v>104003</v>
      </c>
    </row>
    <row r="74">
      <c r="A74" s="34">
        <f>IFERROR(__xludf.DUMMYFUNCTION("""COMPUTED_VALUE"""),104003.0)</f>
        <v>104003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IFERROR(__xludf.DUMMYFUNCTION("""COMPUTED_VALUE"""),104004.0)</f>
        <v>104004</v>
      </c>
    </row>
    <row r="75">
      <c r="A75" s="34">
        <f>IFERROR(__xludf.DUMMYFUNCTION("""COMPUTED_VALUE"""),104004.0)</f>
        <v>104004</v>
      </c>
      <c r="B75" s="34" t="str">
        <f>IFERROR(__xludf.DUMMYFUNCTION("""COMPUTED_VALUE"""),"Bubble")</f>
        <v>Bubble</v>
      </c>
      <c r="C75" s="34">
        <f>IFERROR(__xludf.DUMMYFUNCTION("""COMPUTED_VALUE"""),0.0)</f>
        <v>0</v>
      </c>
      <c r="D75" s="34">
        <f>IFERROR(__xludf.DUMMYFUNCTION("""COMPUTED_VALUE"""),104005.0)</f>
        <v>104005</v>
      </c>
    </row>
    <row r="76">
      <c r="A76" s="34">
        <f>IFERROR(__xludf.DUMMYFUNCTION("""COMPUTED_VALUE"""),104005.0)</f>
        <v>104005</v>
      </c>
      <c r="B76" s="34" t="str">
        <f>IFERROR(__xludf.DUMMYFUNCTION("""COMPUTED_VALUE"""),"Bubble, Camera")</f>
        <v>Bubble, Camera</v>
      </c>
      <c r="C76" s="34">
        <f>IFERROR(__xludf.DUMMYFUNCTION("""COMPUTED_VALUE"""),0.0)</f>
        <v>0</v>
      </c>
      <c r="D76" s="34">
        <f>IFERROR(__xludf.DUMMYFUNCTION("""COMPUTED_VALUE"""),104006.0)</f>
        <v>104006</v>
      </c>
    </row>
    <row r="77">
      <c r="A77" s="34">
        <f>IFERROR(__xludf.DUMMYFUNCTION("""COMPUTED_VALUE"""),104006.0)</f>
        <v>104006</v>
      </c>
      <c r="B77" s="34" t="str">
        <f>IFERROR(__xludf.DUMMYFUNCTION("""COMPUTED_VALUE"""),"Camera, Select")</f>
        <v>Camera, Select</v>
      </c>
      <c r="C77" s="34">
        <f>IFERROR(__xludf.DUMMYFUNCTION("""COMPUTED_VALUE"""),0.0)</f>
        <v>0</v>
      </c>
      <c r="D77" s="34">
        <f>IFERROR(__xludf.DUMMYFUNCTION("""COMPUTED_VALUE"""),0.0)</f>
        <v>0</v>
      </c>
    </row>
    <row r="78">
      <c r="A78" s="34">
        <f>IFERROR(__xludf.DUMMYFUNCTION("""COMPUTED_VALUE"""),1040061.0)</f>
        <v>1040061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IFERROR(__xludf.DUMMYFUNCTION("""COMPUTED_VALUE"""),1040062.0)</f>
        <v>1040062</v>
      </c>
      <c r="B79" s="34" t="str">
        <f>IFERROR(__xludf.DUMMYFUNCTION("""COMPUTED_VALUE"""),"Script")</f>
        <v>Script</v>
      </c>
      <c r="C79" s="34">
        <f>IFERROR(__xludf.DUMMYFUNCTION("""COMPUTED_VALUE"""),0.0)</f>
        <v>0</v>
      </c>
      <c r="D79" s="34">
        <f>IFERROR(__xludf.DUMMYFUNCTION("""COMPUTED_VALUE"""),104007.0)</f>
        <v>104007</v>
      </c>
    </row>
    <row r="80">
      <c r="A80" s="34">
        <f>IFERROR(__xludf.DUMMYFUNCTION("""COMPUTED_VALUE"""),104007.0)</f>
        <v>104007</v>
      </c>
      <c r="B80" s="34" t="str">
        <f>IFERROR(__xludf.DUMMYFUNCTION("""COMPUTED_VALUE"""),"Bubble, Camera")</f>
        <v>Bubble, Camera</v>
      </c>
      <c r="C80" s="34">
        <f>IFERROR(__xludf.DUMMYFUNCTION("""COMPUTED_VALUE"""),0.0)</f>
        <v>0</v>
      </c>
      <c r="D80" s="34">
        <f>IFERROR(__xludf.DUMMYFUNCTION("""COMPUTED_VALUE"""),104008.0)</f>
        <v>104008</v>
      </c>
    </row>
    <row r="81">
      <c r="A81" s="34">
        <f>IFERROR(__xludf.DUMMYFUNCTION("""COMPUTED_VALUE"""),104008.0)</f>
        <v>104008</v>
      </c>
      <c r="B81" s="34" t="str">
        <f>IFERROR(__xludf.DUMMYFUNCTION("""COMPUTED_VALUE"""),"Bubble")</f>
        <v>Bubble</v>
      </c>
      <c r="C81" s="34">
        <f>IFERROR(__xludf.DUMMYFUNCTION("""COMPUTED_VALUE"""),0.0)</f>
        <v>0</v>
      </c>
      <c r="D81" s="34">
        <f>IFERROR(__xludf.DUMMYFUNCTION("""COMPUTED_VALUE"""),104009.0)</f>
        <v>104009</v>
      </c>
    </row>
    <row r="82">
      <c r="A82" s="34">
        <f>IFERROR(__xludf.DUMMYFUNCTION("""COMPUTED_VALUE"""),104009.0)</f>
        <v>104009</v>
      </c>
      <c r="B82" s="34" t="str">
        <f>IFERROR(__xludf.DUMMYFUNCTION("""COMPUTED_VALUE"""),"Event")</f>
        <v>Event</v>
      </c>
      <c r="C82" s="34">
        <f>IFERROR(__xludf.DUMMYFUNCTION("""COMPUTED_VALUE"""),0.0)</f>
        <v>0</v>
      </c>
      <c r="D82" s="34">
        <f>IFERROR(__xludf.DUMMYFUNCTION("""COMPUTED_VALUE"""),104010.0)</f>
        <v>104010</v>
      </c>
    </row>
    <row r="83">
      <c r="A83" s="34">
        <f>IFERROR(__xludf.DUMMYFUNCTION("""COMPUTED_VALUE"""),104010.0)</f>
        <v>104010</v>
      </c>
      <c r="B83" s="34" t="str">
        <f>IFERROR(__xludf.DUMMYFUNCTION("""COMPUTED_VALUE"""),"Bubble")</f>
        <v>Bubble</v>
      </c>
      <c r="C83" s="34">
        <f>IFERROR(__xludf.DUMMYFUNCTION("""COMPUTED_VALUE"""),0.0)</f>
        <v>0</v>
      </c>
      <c r="D83" s="34">
        <f>IFERROR(__xludf.DUMMYFUNCTION("""COMPUTED_VALUE"""),104011.0)</f>
        <v>104011</v>
      </c>
    </row>
    <row r="84">
      <c r="A84" s="34">
        <f>IFERROR(__xludf.DUMMYFUNCTION("""COMPUTED_VALUE"""),104011.0)</f>
        <v>104011</v>
      </c>
      <c r="B84" s="34" t="str">
        <f>IFERROR(__xludf.DUMMYFUNCTION("""COMPUTED_VALUE"""),"Camera")</f>
        <v>Camera</v>
      </c>
      <c r="C84" s="34">
        <f>IFERROR(__xludf.DUMMYFUNCTION("""COMPUTED_VALUE"""),0.0)</f>
        <v>0</v>
      </c>
      <c r="D84" s="34">
        <f>IFERROR(__xludf.DUMMYFUNCTION("""COMPUTED_VALUE"""),104012.0)</f>
        <v>104012</v>
      </c>
    </row>
    <row r="85">
      <c r="A85" s="34">
        <f>IFERROR(__xludf.DUMMYFUNCTION("""COMPUTED_VALUE"""),104012.0)</f>
        <v>104012</v>
      </c>
      <c r="B85" s="34" t="str">
        <f>IFERROR(__xludf.DUMMYFUNCTION("""COMPUTED_VALUE"""),"End")</f>
        <v>End</v>
      </c>
      <c r="C85" s="34">
        <f>IFERROR(__xludf.DUMMYFUNCTION("""COMPUTED_VALUE"""),0.0)</f>
        <v>0</v>
      </c>
      <c r="D85" s="34"/>
    </row>
    <row r="86">
      <c r="A86" s="34">
        <f>IFERROR(__xludf.DUMMYFUNCTION("""COMPUTED_VALUE"""),201001.0)</f>
        <v>201001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IFERROR(__xludf.DUMMYFUNCTION("""COMPUTED_VALUE"""),201002.0)</f>
        <v>201002</v>
      </c>
    </row>
    <row r="87">
      <c r="A87" s="34">
        <f>IFERROR(__xludf.DUMMYFUNCTION("""COMPUTED_VALUE"""),201002.0)</f>
        <v>201002</v>
      </c>
      <c r="B87" s="34" t="str">
        <f>IFERROR(__xludf.DUMMYFUNCTION("""COMPUTED_VALUE"""),"Script")</f>
        <v>Script</v>
      </c>
      <c r="C87" s="34">
        <f>IFERROR(__xludf.DUMMYFUNCTION("""COMPUTED_VALUE"""),0.0)</f>
        <v>0</v>
      </c>
      <c r="D87" s="34">
        <f>IFERROR(__xludf.DUMMYFUNCTION("""COMPUTED_VALUE"""),201003.0)</f>
        <v>201003</v>
      </c>
    </row>
    <row r="88">
      <c r="A88" s="34">
        <f>IFERROR(__xludf.DUMMYFUNCTION("""COMPUTED_VALUE"""),201003.0)</f>
        <v>201003</v>
      </c>
      <c r="B88" s="34" t="str">
        <f>IFERROR(__xludf.DUMMYFUNCTION("""COMPUTED_VALUE"""),"Script, Camera")</f>
        <v>Script, Camera</v>
      </c>
      <c r="C88" s="34">
        <f>IFERROR(__xludf.DUMMYFUNCTION("""COMPUTED_VALUE"""),0.0)</f>
        <v>0</v>
      </c>
      <c r="D88" s="34">
        <f>IFERROR(__xludf.DUMMYFUNCTION("""COMPUTED_VALUE"""),201004.0)</f>
        <v>201004</v>
      </c>
    </row>
    <row r="89">
      <c r="A89" s="34">
        <f>IFERROR(__xludf.DUMMYFUNCTION("""COMPUTED_VALUE"""),201004.0)</f>
        <v>201004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IFERROR(__xludf.DUMMYFUNCTION("""COMPUTED_VALUE"""),201005.0)</f>
        <v>201005</v>
      </c>
    </row>
    <row r="90">
      <c r="A90" s="34">
        <f>IFERROR(__xludf.DUMMYFUNCTION("""COMPUTED_VALUE"""),201005.0)</f>
        <v>201005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IFERROR(__xludf.DUMMYFUNCTION("""COMPUTED_VALUE"""),201006.0)</f>
        <v>201006</v>
      </c>
    </row>
    <row r="91">
      <c r="A91" s="34">
        <f>IFERROR(__xludf.DUMMYFUNCTION("""COMPUTED_VALUE"""),201006.0)</f>
        <v>201006</v>
      </c>
      <c r="B91" s="34" t="str">
        <f>IFERROR(__xludf.DUMMYFUNCTION("""COMPUTED_VALUE"""),"Script")</f>
        <v>Script</v>
      </c>
      <c r="C91" s="34">
        <f>IFERROR(__xludf.DUMMYFUNCTION("""COMPUTED_VALUE"""),0.0)</f>
        <v>0</v>
      </c>
      <c r="D91" s="34">
        <f>IFERROR(__xludf.DUMMYFUNCTION("""COMPUTED_VALUE"""),201007.0)</f>
        <v>201007</v>
      </c>
    </row>
    <row r="92">
      <c r="A92" s="34">
        <f>IFERROR(__xludf.DUMMYFUNCTION("""COMPUTED_VALUE"""),201007.0)</f>
        <v>201007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IFERROR(__xludf.DUMMYFUNCTION("""COMPUTED_VALUE"""),201008.0)</f>
        <v>201008</v>
      </c>
    </row>
    <row r="93">
      <c r="A93" s="34">
        <f>IFERROR(__xludf.DUMMYFUNCTION("""COMPUTED_VALUE"""),201008.0)</f>
        <v>201008</v>
      </c>
      <c r="B93" s="34" t="str">
        <f>IFERROR(__xludf.DUMMYFUNCTION("""COMPUTED_VALUE"""),"Script, Camera")</f>
        <v>Script, Camera</v>
      </c>
      <c r="C93" s="34">
        <f>IFERROR(__xludf.DUMMYFUNCTION("""COMPUTED_VALUE"""),0.0)</f>
        <v>0</v>
      </c>
      <c r="D93" s="34">
        <f>IFERROR(__xludf.DUMMYFUNCTION("""COMPUTED_VALUE"""),201009.0)</f>
        <v>201009</v>
      </c>
    </row>
    <row r="94">
      <c r="A94" s="34">
        <f>IFERROR(__xludf.DUMMYFUNCTION("""COMPUTED_VALUE"""),201009.0)</f>
        <v>201009</v>
      </c>
      <c r="B94" s="34" t="str">
        <f>IFERROR(__xludf.DUMMYFUNCTION("""COMPUTED_VALUE"""),"Bubble, Camera")</f>
        <v>Bubble, Camera</v>
      </c>
      <c r="C94" s="34">
        <f>IFERROR(__xludf.DUMMYFUNCTION("""COMPUTED_VALUE"""),0.0)</f>
        <v>0</v>
      </c>
      <c r="D94" s="34">
        <f>IFERROR(__xludf.DUMMYFUNCTION("""COMPUTED_VALUE"""),201010.0)</f>
        <v>201010</v>
      </c>
    </row>
    <row r="95">
      <c r="A95" s="34">
        <f>IFERROR(__xludf.DUMMYFUNCTION("""COMPUTED_VALUE"""),201010.0)</f>
        <v>201010</v>
      </c>
      <c r="B95" s="34" t="str">
        <f>IFERROR(__xludf.DUMMYFUNCTION("""COMPUTED_VALUE"""),"Script, Camera")</f>
        <v>Script, Camera</v>
      </c>
      <c r="C95" s="34">
        <f>IFERROR(__xludf.DUMMYFUNCTION("""COMPUTED_VALUE"""),0.0)</f>
        <v>0</v>
      </c>
      <c r="D95" s="34">
        <f>IFERROR(__xludf.DUMMYFUNCTION("""COMPUTED_VALUE"""),201011.0)</f>
        <v>201011</v>
      </c>
    </row>
    <row r="96">
      <c r="A96" s="34">
        <f>IFERROR(__xludf.DUMMYFUNCTION("""COMPUTED_VALUE"""),201011.0)</f>
        <v>201011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IFERROR(__xludf.DUMMYFUNCTION("""COMPUTED_VALUE"""),201012.0)</f>
        <v>201012</v>
      </c>
    </row>
    <row r="97">
      <c r="A97" s="34">
        <f>IFERROR(__xludf.DUMMYFUNCTION("""COMPUTED_VALUE"""),201012.0)</f>
        <v>201012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IFERROR(__xludf.DUMMYFUNCTION("""COMPUTED_VALUE"""),201013.0)</f>
        <v>201013</v>
      </c>
    </row>
    <row r="98">
      <c r="A98" s="34">
        <f>IFERROR(__xludf.DUMMYFUNCTION("""COMPUTED_VALUE"""),201013.0)</f>
        <v>201013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IFERROR(__xludf.DUMMYFUNCTION("""COMPUTED_VALUE"""),201014.0)</f>
        <v>201014</v>
      </c>
    </row>
    <row r="99">
      <c r="A99" s="34">
        <f>IFERROR(__xludf.DUMMYFUNCTION("""COMPUTED_VALUE"""),201014.0)</f>
        <v>201014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IFERROR(__xludf.DUMMYFUNCTION("""COMPUTED_VALUE"""),201015.0)</f>
        <v>201015</v>
      </c>
    </row>
    <row r="100">
      <c r="A100" s="34">
        <f>IFERROR(__xludf.DUMMYFUNCTION("""COMPUTED_VALUE"""),201015.0)</f>
        <v>201015</v>
      </c>
      <c r="B100" s="34" t="str">
        <f>IFERROR(__xludf.DUMMYFUNCTION("""COMPUTED_VALUE"""),"Script")</f>
        <v>Script</v>
      </c>
      <c r="C100" s="34">
        <f>IFERROR(__xludf.DUMMYFUNCTION("""COMPUTED_VALUE"""),0.0)</f>
        <v>0</v>
      </c>
      <c r="D100" s="34">
        <f>IFERROR(__xludf.DUMMYFUNCTION("""COMPUTED_VALUE"""),201016.0)</f>
        <v>201016</v>
      </c>
    </row>
    <row r="101">
      <c r="A101" s="34">
        <f>IFERROR(__xludf.DUMMYFUNCTION("""COMPUTED_VALUE"""),201016.0)</f>
        <v>201016</v>
      </c>
      <c r="B101" s="34" t="str">
        <f>IFERROR(__xludf.DUMMYFUNCTION("""COMPUTED_VALUE"""),"Camera, Select")</f>
        <v>Camera, Select</v>
      </c>
      <c r="C101" s="34">
        <f>IFERROR(__xludf.DUMMYFUNCTION("""COMPUTED_VALUE"""),0.0)</f>
        <v>0</v>
      </c>
      <c r="D101" s="34">
        <f>IFERROR(__xludf.DUMMYFUNCTION("""COMPUTED_VALUE"""),0.0)</f>
        <v>0</v>
      </c>
    </row>
    <row r="102">
      <c r="A102" s="34">
        <f>IFERROR(__xludf.DUMMYFUNCTION("""COMPUTED_VALUE"""),2010161.0)</f>
        <v>2010161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IFERROR(__xludf.DUMMYFUNCTION("""COMPUTED_VALUE"""),201017.0)</f>
        <v>201017</v>
      </c>
    </row>
    <row r="103">
      <c r="A103" s="34">
        <f>IFERROR(__xludf.DUMMYFUNCTION("""COMPUTED_VALUE"""),2010162.0)</f>
        <v>2010162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IFERROR(__xludf.DUMMYFUNCTION("""COMPUTED_VALUE"""),201019.0)</f>
        <v>201019</v>
      </c>
    </row>
    <row r="104">
      <c r="A104" s="34">
        <f>IFERROR(__xludf.DUMMYFUNCTION("""COMPUTED_VALUE"""),201017.0)</f>
        <v>201017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IFERROR(__xludf.DUMMYFUNCTION("""COMPUTED_VALUE"""),201018.0)</f>
        <v>201018</v>
      </c>
    </row>
    <row r="105">
      <c r="A105" s="34">
        <f>IFERROR(__xludf.DUMMYFUNCTION("""COMPUTED_VALUE"""),201018.0)</f>
        <v>201018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IFERROR(__xludf.DUMMYFUNCTION("""COMPUTED_VALUE"""),201016.0)</f>
        <v>201016</v>
      </c>
    </row>
    <row r="106">
      <c r="A106" s="34">
        <f>IFERROR(__xludf.DUMMYFUNCTION("""COMPUTED_VALUE"""),201019.0)</f>
        <v>201019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IFERROR(__xludf.DUMMYFUNCTION("""COMPUTED_VALUE"""),201020.0)</f>
        <v>201020</v>
      </c>
    </row>
    <row r="107">
      <c r="A107" s="34">
        <f>IFERROR(__xludf.DUMMYFUNCTION("""COMPUTED_VALUE"""),201020.0)</f>
        <v>201020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IFERROR(__xludf.DUMMYFUNCTION("""COMPUTED_VALUE"""),201016.0)</f>
        <v>201016</v>
      </c>
    </row>
    <row r="108">
      <c r="A108" s="34">
        <f>IFERROR(__xludf.DUMMYFUNCTION("""COMPUTED_VALUE"""),201021.0)</f>
        <v>201021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IFERROR(__xludf.DUMMYFUNCTION("""COMPUTED_VALUE"""),201022.0)</f>
        <v>201022</v>
      </c>
    </row>
    <row r="109">
      <c r="A109" s="34">
        <f>IFERROR(__xludf.DUMMYFUNCTION("""COMPUTED_VALUE"""),201022.0)</f>
        <v>201022</v>
      </c>
      <c r="B109" s="34" t="str">
        <f>IFERROR(__xludf.DUMMYFUNCTION("""COMPUTED_VALUE"""),"Script, Animation")</f>
        <v>Script, Animation</v>
      </c>
      <c r="C109" s="34">
        <f>IFERROR(__xludf.DUMMYFUNCTION("""COMPUTED_VALUE"""),0.0)</f>
        <v>0</v>
      </c>
      <c r="D109" s="34">
        <f>IFERROR(__xludf.DUMMYFUNCTION("""COMPUTED_VALUE"""),201023.0)</f>
        <v>201023</v>
      </c>
    </row>
    <row r="110">
      <c r="A110" s="34">
        <f>IFERROR(__xludf.DUMMYFUNCTION("""COMPUTED_VALUE"""),201023.0)</f>
        <v>201023</v>
      </c>
      <c r="B110" s="34" t="str">
        <f>IFERROR(__xludf.DUMMYFUNCTION("""COMPUTED_VALUE"""),"Script, Animation")</f>
        <v>Script, Animation</v>
      </c>
      <c r="C110" s="34">
        <f>IFERROR(__xludf.DUMMYFUNCTION("""COMPUTED_VALUE"""),0.0)</f>
        <v>0</v>
      </c>
      <c r="D110" s="34">
        <f>IFERROR(__xludf.DUMMYFUNCTION("""COMPUTED_VALUE"""),201024.0)</f>
        <v>201024</v>
      </c>
    </row>
    <row r="111">
      <c r="A111" s="34">
        <f>IFERROR(__xludf.DUMMYFUNCTION("""COMPUTED_VALUE"""),201024.0)</f>
        <v>201024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IFERROR(__xludf.DUMMYFUNCTION("""COMPUTED_VALUE"""),201025.0)</f>
        <v>201025</v>
      </c>
    </row>
    <row r="112">
      <c r="A112" s="34">
        <f>IFERROR(__xludf.DUMMYFUNCTION("""COMPUTED_VALUE"""),201025.0)</f>
        <v>201025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IFERROR(__xludf.DUMMYFUNCTION("""COMPUTED_VALUE"""),201026.0)</f>
        <v>201026</v>
      </c>
    </row>
    <row r="113">
      <c r="A113" s="34">
        <f>IFERROR(__xludf.DUMMYFUNCTION("""COMPUTED_VALUE"""),201026.0)</f>
        <v>201026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IFERROR(__xludf.DUMMYFUNCTION("""COMPUTED_VALUE"""),201027.0)</f>
        <v>201027</v>
      </c>
    </row>
    <row r="114">
      <c r="A114" s="34">
        <f>IFERROR(__xludf.DUMMYFUNCTION("""COMPUTED_VALUE"""),201027.0)</f>
        <v>201027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IFERROR(__xludf.DUMMYFUNCTION("""COMPUTED_VALUE"""),201028.0)</f>
        <v>201028</v>
      </c>
    </row>
    <row r="115">
      <c r="A115" s="34">
        <f>IFERROR(__xludf.DUMMYFUNCTION("""COMPUTED_VALUE"""),201028.0)</f>
        <v>201028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IFERROR(__xludf.DUMMYFUNCTION("""COMPUTED_VALUE"""),201029.0)</f>
        <v>201029</v>
      </c>
    </row>
    <row r="116">
      <c r="A116" s="34">
        <f>IFERROR(__xludf.DUMMYFUNCTION("""COMPUTED_VALUE"""),201029.0)</f>
        <v>201029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IFERROR(__xludf.DUMMYFUNCTION("""COMPUTED_VALUE"""),201030.0)</f>
        <v>201030</v>
      </c>
    </row>
    <row r="117">
      <c r="A117" s="34">
        <f>IFERROR(__xludf.DUMMYFUNCTION("""COMPUTED_VALUE"""),201030.0)</f>
        <v>201030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IFERROR(__xludf.DUMMYFUNCTION("""COMPUTED_VALUE"""),201031.0)</f>
        <v>201031</v>
      </c>
    </row>
    <row r="118">
      <c r="A118" s="34">
        <f>IFERROR(__xludf.DUMMYFUNCTION("""COMPUTED_VALUE"""),201031.0)</f>
        <v>201031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IFERROR(__xludf.DUMMYFUNCTION("""COMPUTED_VALUE"""),201032.0)</f>
        <v>201032</v>
      </c>
    </row>
    <row r="119">
      <c r="A119" s="34">
        <f>IFERROR(__xludf.DUMMYFUNCTION("""COMPUTED_VALUE"""),201032.0)</f>
        <v>201032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IFERROR(__xludf.DUMMYFUNCTION("""COMPUTED_VALUE"""),201033.0)</f>
        <v>201033</v>
      </c>
    </row>
    <row r="120">
      <c r="A120" s="34">
        <f>IFERROR(__xludf.DUMMYFUNCTION("""COMPUTED_VALUE"""),201033.0)</f>
        <v>201033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IFERROR(__xludf.DUMMYFUNCTION("""COMPUTED_VALUE"""),201034.0)</f>
        <v>201034</v>
      </c>
    </row>
    <row r="121">
      <c r="A121" s="34">
        <f>IFERROR(__xludf.DUMMYFUNCTION("""COMPUTED_VALUE"""),201034.0)</f>
        <v>201034</v>
      </c>
      <c r="B121" s="34" t="str">
        <f>IFERROR(__xludf.DUMMYFUNCTION("""COMPUTED_VALUE"""),"Script, Camera")</f>
        <v>Script, Camera</v>
      </c>
      <c r="C121" s="34">
        <f>IFERROR(__xludf.DUMMYFUNCTION("""COMPUTED_VALUE"""),0.0)</f>
        <v>0</v>
      </c>
      <c r="D121" s="34">
        <f>IFERROR(__xludf.DUMMYFUNCTION("""COMPUTED_VALUE"""),201035.0)</f>
        <v>201035</v>
      </c>
    </row>
    <row r="122">
      <c r="A122" s="34">
        <f>IFERROR(__xludf.DUMMYFUNCTION("""COMPUTED_VALUE"""),201035.0)</f>
        <v>201035</v>
      </c>
      <c r="B122" s="34" t="str">
        <f>IFERROR(__xludf.DUMMYFUNCTION("""COMPUTED_VALUE"""),"Event")</f>
        <v>Event</v>
      </c>
      <c r="C122" s="34">
        <f>IFERROR(__xludf.DUMMYFUNCTION("""COMPUTED_VALUE"""),0.0)</f>
        <v>0</v>
      </c>
      <c r="D122" s="34">
        <f>IFERROR(__xludf.DUMMYFUNCTION("""COMPUTED_VALUE"""),201036.0)</f>
        <v>201036</v>
      </c>
    </row>
    <row r="123">
      <c r="A123" s="34">
        <f>IFERROR(__xludf.DUMMYFUNCTION("""COMPUTED_VALUE"""),201036.0)</f>
        <v>201036</v>
      </c>
      <c r="B123" s="34" t="str">
        <f>IFERROR(__xludf.DUMMYFUNCTION("""COMPUTED_VALUE"""),"Script, Animation")</f>
        <v>Script, Animation</v>
      </c>
      <c r="C123" s="34">
        <f>IFERROR(__xludf.DUMMYFUNCTION("""COMPUTED_VALUE"""),0.0)</f>
        <v>0</v>
      </c>
      <c r="D123" s="34">
        <f>IFERROR(__xludf.DUMMYFUNCTION("""COMPUTED_VALUE"""),201037.0)</f>
        <v>201037</v>
      </c>
    </row>
    <row r="124">
      <c r="A124" s="34">
        <f>IFERROR(__xludf.DUMMYFUNCTION("""COMPUTED_VALUE"""),201037.0)</f>
        <v>201037</v>
      </c>
      <c r="B124" s="34" t="str">
        <f>IFERROR(__xludf.DUMMYFUNCTION("""COMPUTED_VALUE"""),"Script")</f>
        <v>Script</v>
      </c>
      <c r="C124" s="34">
        <f>IFERROR(__xludf.DUMMYFUNCTION("""COMPUTED_VALUE"""),0.0)</f>
        <v>0</v>
      </c>
      <c r="D124" s="34">
        <f>IFERROR(__xludf.DUMMYFUNCTION("""COMPUTED_VALUE"""),201038.0)</f>
        <v>201038</v>
      </c>
    </row>
    <row r="125">
      <c r="A125" s="34">
        <f>IFERROR(__xludf.DUMMYFUNCTION("""COMPUTED_VALUE"""),201038.0)</f>
        <v>201038</v>
      </c>
      <c r="B125" s="34" t="str">
        <f>IFERROR(__xludf.DUMMYFUNCTION("""COMPUTED_VALUE"""),"Camera")</f>
        <v>Camera</v>
      </c>
      <c r="C125" s="34">
        <f>IFERROR(__xludf.DUMMYFUNCTION("""COMPUTED_VALUE"""),0.0)</f>
        <v>0</v>
      </c>
      <c r="D125" s="34">
        <f>IFERROR(__xludf.DUMMYFUNCTION("""COMPUTED_VALUE"""),201039.0)</f>
        <v>201039</v>
      </c>
    </row>
    <row r="126">
      <c r="A126" s="34">
        <f>IFERROR(__xludf.DUMMYFUNCTION("""COMPUTED_VALUE"""),201039.0)</f>
        <v>201039</v>
      </c>
      <c r="B126" s="34" t="str">
        <f>IFERROR(__xludf.DUMMYFUNCTION("""COMPUTED_VALUE"""),"Event")</f>
        <v>Event</v>
      </c>
      <c r="C126" s="34">
        <f>IFERROR(__xludf.DUMMYFUNCTION("""COMPUTED_VALUE"""),0.0)</f>
        <v>0</v>
      </c>
      <c r="D126" s="34">
        <f>IFERROR(__xludf.DUMMYFUNCTION("""COMPUTED_VALUE"""),201040.0)</f>
        <v>201040</v>
      </c>
    </row>
    <row r="127">
      <c r="A127" s="34">
        <f>IFERROR(__xludf.DUMMYFUNCTION("""COMPUTED_VALUE"""),201040.0)</f>
        <v>201040</v>
      </c>
      <c r="B127" s="34" t="str">
        <f>IFERROR(__xludf.DUMMYFUNCTION("""COMPUTED_VALUE"""),"Bubble, Camera")</f>
        <v>Bubble, Camera</v>
      </c>
      <c r="C127" s="34">
        <f>IFERROR(__xludf.DUMMYFUNCTION("""COMPUTED_VALUE"""),0.0)</f>
        <v>0</v>
      </c>
      <c r="D127" s="34">
        <f>IFERROR(__xludf.DUMMYFUNCTION("""COMPUTED_VALUE"""),201041.0)</f>
        <v>201041</v>
      </c>
    </row>
    <row r="128">
      <c r="A128" s="34">
        <f>IFERROR(__xludf.DUMMYFUNCTION("""COMPUTED_VALUE"""),201041.0)</f>
        <v>201041</v>
      </c>
      <c r="B128" s="34" t="str">
        <f>IFERROR(__xludf.DUMMYFUNCTION("""COMPUTED_VALUE"""),"Bubble")</f>
        <v>Bubble</v>
      </c>
      <c r="C128" s="34">
        <f>IFERROR(__xludf.DUMMYFUNCTION("""COMPUTED_VALUE"""),0.0)</f>
        <v>0</v>
      </c>
      <c r="D128" s="34">
        <f>IFERROR(__xludf.DUMMYFUNCTION("""COMPUTED_VALUE"""),201042.0)</f>
        <v>201042</v>
      </c>
    </row>
    <row r="129">
      <c r="A129" s="34">
        <f>IFERROR(__xludf.DUMMYFUNCTION("""COMPUTED_VALUE"""),201042.0)</f>
        <v>201042</v>
      </c>
      <c r="B129" s="34" t="str">
        <f>IFERROR(__xludf.DUMMYFUNCTION("""COMPUTED_VALUE"""),"Camera")</f>
        <v>Camera</v>
      </c>
      <c r="C129" s="34">
        <f>IFERROR(__xludf.DUMMYFUNCTION("""COMPUTED_VALUE"""),0.0)</f>
        <v>0</v>
      </c>
      <c r="D129" s="34">
        <f>IFERROR(__xludf.DUMMYFUNCTION("""COMPUTED_VALUE"""),201043.0)</f>
        <v>201043</v>
      </c>
    </row>
    <row r="130">
      <c r="A130" s="34">
        <f>IFERROR(__xludf.DUMMYFUNCTION("""COMPUTED_VALUE"""),201043.0)</f>
        <v>201043</v>
      </c>
      <c r="B130" s="34" t="str">
        <f>IFERROR(__xludf.DUMMYFUNCTION("""COMPUTED_VALUE"""),"End")</f>
        <v>End</v>
      </c>
      <c r="C130" s="34">
        <f>IFERROR(__xludf.DUMMYFUNCTION("""COMPUTED_VALUE"""),0.0)</f>
        <v>0</v>
      </c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  <row r="1017">
      <c r="A1017" s="34"/>
      <c r="B1017" s="34"/>
      <c r="C1017" s="34"/>
      <c r="D1017" s="34"/>
    </row>
    <row r="1018">
      <c r="A1018" s="34"/>
      <c r="B1018" s="34"/>
      <c r="C1018" s="34"/>
      <c r="D1018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89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IFERROR(__xludf.DUMMYFUNCTION("""COMPUTED_VALUE"""),1010261.0)</f>
        <v>1010261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IFERROR(__xludf.DUMMYFUNCTION("""COMPUTED_VALUE"""),1010262.0)</f>
        <v>1010262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IFERROR(__xludf.DUMMYFUNCTION("""COMPUTED_VALUE"""),101034.0)</f>
        <v>101034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그 고양이는 못 찾겠네...")</f>
        <v>{fade a=3.5} 후 그 고양이는 못 찾겠네...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&lt;color=#D80101&gt;홍연&lt;/color&gt;과 어디로 이어진지 모른 채 길게 늘어진 &lt;color=#001AFF&gt;청연&lt;/color&gt;이 보이는구나.")</f>
        <v>{fade a=3.5}너에게는 끊겨져버린 &lt;color=#D80101&gt;홍연&lt;/color&gt;과 어디로 이어진지 모른 채 길게 늘어진 &lt;color=#001AFF&gt;청연&lt;/color&gt;이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IFERROR(__xludf.DUMMYFUNCTION("""COMPUTED_VALUE"""),"&lt;color=#D80101&gt;홍연&lt;/color&gt;이요?")</f>
        <v>&lt;color=#D80101&gt;홍연&lt;/color&gt;이요?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IFERROR(__xludf.DUMMYFUNCTION("""COMPUTED_VALUE"""),"&lt;color=#001AFF&gt;청연&lt;/color&gt;이요?")</f>
        <v>&lt;color=#001AFF&gt;청연&lt;/color&gt;이요?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실&lt;/color&gt;로, &lt;b&gt;연결된 자와 무조건 이어진다는 의미&lt;/b&gt;를 가지고 있지. ")</f>
        <v>{fade a=3.5}&lt;color=#D80101&gt;붉은색 인연의 실&lt;/color&gt;로,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실&lt;/color&gt;로, &lt;b&gt;연결된 자와는 끝내 이어지지 않는다는 의미&lt;/b&gt;를 가지고 있지. ")</f>
        <v>{fade a=3.5}&lt;color=#001AFF&gt;푸른색 인연의 실&lt;/color&gt;로,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&lt;color=#D80101&gt;홍연&lt;/color&gt;과 &lt;color=#001AFF&gt;청연.&lt;/color&gt; 그것들이 너를 도와줄 것이야.")</f>
        <v>{fade a=3.5}&lt;b&gt;너의 인연의 실들.&lt;/b&gt; &lt;color=#D80101&gt;홍연&lt;/color&gt;과 &lt;color=#001AFF&gt;청연.&lt;/color&gt;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아이가 도움을 줄 수 있을 것이야.")</f>
        <v>{fade a=3.5}이 아이가 도움을 줄 수 있을 것이야.</v>
      </c>
    </row>
    <row r="49">
      <c r="A49" s="34">
        <f>IFERROR(__xludf.DUMMYFUNCTION("""COMPUTED_VALUE"""),201037.0)</f>
        <v>201037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75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90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 t="str">
        <f>IFERROR(__xludf.DUMMYFUNCTION("""COMPUTED_VALUE"""),"Cat")</f>
        <v>Cat</v>
      </c>
      <c r="C7" s="34" t="str">
        <f>IFERROR(__xludf.DUMMYFUNCTION("""COMPUTED_VALUE"""),"CameraShift")</f>
        <v>CameraShift</v>
      </c>
      <c r="D7" s="34"/>
      <c r="E7" s="34"/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IFERROR(__xludf.DUMMYFUNCTION("""COMPUTED_VALUE"""),5.5)</f>
        <v>5.5</v>
      </c>
      <c r="E8" s="34">
        <f>IFERROR(__xludf.DUMMYFUNCTION("""COMPUTED_VALUE"""),0.3)</f>
        <v>0.3</v>
      </c>
    </row>
    <row r="9">
      <c r="A9" s="34">
        <f>IFERROR(__xludf.DUMMYFUNCTION("""COMPUTED_VALUE"""),101018.0)</f>
        <v>101018</v>
      </c>
      <c r="B9" s="34"/>
      <c r="C9" s="34" t="str">
        <f>IFERROR(__xludf.DUMMYFUNCTION("""COMPUTED_VALUE"""),"ZoomIn")</f>
        <v>ZoomIn</v>
      </c>
      <c r="D9" s="34">
        <f>IFERROR(__xludf.DUMMYFUNCTION("""COMPUTED_VALUE"""),5.0)</f>
        <v>5</v>
      </c>
      <c r="E9" s="34">
        <f>IFERROR(__xludf.DUMMYFUNCTION("""COMPUTED_VALUE"""),0.3)</f>
        <v>0.3</v>
      </c>
    </row>
    <row r="10">
      <c r="A10" s="34">
        <f>IFERROR(__xludf.DUMMYFUNCTION("""COMPUTED_VALUE"""),101020.0)</f>
        <v>101020</v>
      </c>
      <c r="B10" s="34" t="str">
        <f>IFERROR(__xludf.DUMMYFUNCTION("""COMPUTED_VALUE"""),"Anna")</f>
        <v>Anna</v>
      </c>
      <c r="C10" s="34" t="str">
        <f>IFERROR(__xludf.DUMMYFUNCTION("""COMPUTED_VALUE"""),"CameraShift")</f>
        <v>CameraShift</v>
      </c>
      <c r="D10" s="34"/>
      <c r="E10" s="34"/>
    </row>
    <row r="11">
      <c r="A11" s="34">
        <f>IFERROR(__xludf.DUMMYFUNCTION("""COMPUTED_VALUE"""),101027.0)</f>
        <v>101027</v>
      </c>
      <c r="B11" s="34"/>
      <c r="C11" s="34" t="str">
        <f>IFERROR(__xludf.DUMMYFUNCTION("""COMPUTED_VALUE"""),"ZoomIn")</f>
        <v>ZoomIn</v>
      </c>
      <c r="D11" s="34">
        <f>IFERROR(__xludf.DUMMYFUNCTION("""COMPUTED_VALUE"""),5.5)</f>
        <v>5.5</v>
      </c>
      <c r="E11" s="34">
        <f>IFERROR(__xludf.DUMMYFUNCTION("""COMPUTED_VALUE"""),3.0)</f>
        <v>3</v>
      </c>
    </row>
    <row r="12">
      <c r="A12" s="34">
        <f>IFERROR(__xludf.DUMMYFUNCTION("""COMPUTED_VALUE"""),101029.0)</f>
        <v>101029</v>
      </c>
      <c r="B12" s="34"/>
      <c r="C12" s="34" t="str">
        <f>IFERROR(__xludf.DUMMYFUNCTION("""COMPUTED_VALUE"""),"ZoomOut")</f>
        <v>ZoomOut</v>
      </c>
      <c r="D12" s="34">
        <f>IFERROR(__xludf.DUMMYFUNCTION("""COMPUTED_VALUE"""),6.0)</f>
        <v>6</v>
      </c>
      <c r="E12" s="34">
        <f>IFERROR(__xludf.DUMMYFUNCTION("""COMPUTED_VALUE"""),0.8)</f>
        <v>0.8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IFERROR(__xludf.DUMMYFUNCTION("""COMPUTED_VALUE"""),"ZoomIn")</f>
        <v>ZoomIn</v>
      </c>
      <c r="D13" s="34">
        <f>IFERROR(__xludf.DUMMYFUNCTION("""COMPUTED_VALUE"""),5.5)</f>
        <v>5.5</v>
      </c>
      <c r="E13" s="34">
        <f>IFERROR(__xludf.DUMMYFUNCTION("""COMPUTED_VALUE"""),2.0)</f>
        <v>2</v>
      </c>
    </row>
    <row r="14">
      <c r="A14" s="34">
        <f>IFERROR(__xludf.DUMMYFUNCTION("""COMPUTED_VALUE"""),101035.0)</f>
        <v>101035</v>
      </c>
      <c r="B14" s="34"/>
      <c r="C14" s="34" t="str">
        <f>IFERROR(__xludf.DUMMYFUNCTION("""COMPUTED_VALUE"""),"ZoomOut")</f>
        <v>ZoomOut</v>
      </c>
      <c r="D14" s="34">
        <f>IFERROR(__xludf.DUMMYFUNCTION("""COMPUTED_VALUE"""),8.0)</f>
        <v>8</v>
      </c>
      <c r="E14" s="34">
        <f>IFERROR(__xludf.DUMMYFUNCTION("""COMPUTED_VALUE"""),0.8)</f>
        <v>0.8</v>
      </c>
    </row>
    <row r="15">
      <c r="A15" s="34">
        <f>IFERROR(__xludf.DUMMYFUNCTION("""COMPUTED_VALUE"""),102001.0)</f>
        <v>102001</v>
      </c>
      <c r="B15" s="34"/>
      <c r="C15" s="34" t="str">
        <f>IFERROR(__xludf.DUMMYFUNCTION("""COMPUTED_VALUE"""),"ZoomIn")</f>
        <v>ZoomIn</v>
      </c>
      <c r="D15" s="34">
        <f>IFERROR(__xludf.DUMMYFUNCTION("""COMPUTED_VALUE"""),6.0)</f>
        <v>6</v>
      </c>
      <c r="E15" s="34">
        <f>IFERROR(__xludf.DUMMYFUNCTION("""COMPUTED_VALUE"""),0.8)</f>
        <v>0.8</v>
      </c>
    </row>
    <row r="16">
      <c r="A16" s="34">
        <f>IFERROR(__xludf.DUMMYFUNCTION("""COMPUTED_VALUE"""),102002.0)</f>
        <v>102002</v>
      </c>
      <c r="B16" s="34" t="str">
        <f>IFERROR(__xludf.DUMMYFUNCTION("""COMPUTED_VALUE"""),"Cat")</f>
        <v>Cat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IFERROR(__xludf.DUMMYFUNCTION("""COMPUTED_VALUE"""),102004.0)</f>
        <v>102004</v>
      </c>
      <c r="B17" s="34" t="str">
        <f>IFERROR(__xludf.DUMMYFUNCTION("""COMPUTED_VALUE"""),"Anna")</f>
        <v>Anna</v>
      </c>
      <c r="C17" s="34" t="str">
        <f>IFERROR(__xludf.DUMMYFUNCTION("""COMPUTED_VALUE"""),"CameraShift")</f>
        <v>CameraShift</v>
      </c>
      <c r="D17" s="34"/>
      <c r="E17" s="34"/>
    </row>
    <row r="18">
      <c r="A18" s="34">
        <f>IFERROR(__xludf.DUMMYFUNCTION("""COMPUTED_VALUE"""),102005.0)</f>
        <v>102005</v>
      </c>
      <c r="B18" s="34"/>
      <c r="C18" s="34" t="str">
        <f>IFERROR(__xludf.DUMMYFUNCTION("""COMPUTED_VALUE"""),"ZoomOut")</f>
        <v>ZoomOut</v>
      </c>
      <c r="D18" s="34">
        <f>IFERROR(__xludf.DUMMYFUNCTION("""COMPUTED_VALUE"""),8.0)</f>
        <v>8</v>
      </c>
      <c r="E18" s="34">
        <f>IFERROR(__xludf.DUMMYFUNCTION("""COMPUTED_VALUE"""),0.8)</f>
        <v>0.8</v>
      </c>
    </row>
    <row r="19">
      <c r="A19" s="34">
        <f>IFERROR(__xludf.DUMMYFUNCTION("""COMPUTED_VALUE"""),103002.0)</f>
        <v>103002</v>
      </c>
      <c r="B19" s="34"/>
      <c r="C19" s="34" t="str">
        <f>IFERROR(__xludf.DUMMYFUNCTION("""COMPUTED_VALUE"""),"ZoomIn")</f>
        <v>ZoomIn</v>
      </c>
      <c r="D19" s="34">
        <f>IFERROR(__xludf.DUMMYFUNCTION("""COMPUTED_VALUE"""),6.0)</f>
        <v>6</v>
      </c>
      <c r="E19" s="34">
        <f>IFERROR(__xludf.DUMMYFUNCTION("""COMPUTED_VALUE"""),0.8)</f>
        <v>0.8</v>
      </c>
    </row>
    <row r="20">
      <c r="A20" s="34">
        <f>IFERROR(__xludf.DUMMYFUNCTION("""COMPUTED_VALUE"""),103005.0)</f>
        <v>103005</v>
      </c>
      <c r="B20" s="34"/>
      <c r="C20" s="34" t="str">
        <f>IFERROR(__xludf.DUMMYFUNCTION("""COMPUTED_VALUE"""),"ZoomOut")</f>
        <v>ZoomOut</v>
      </c>
      <c r="D20" s="34">
        <f>IFERROR(__xludf.DUMMYFUNCTION("""COMPUTED_VALUE"""),7.0)</f>
        <v>7</v>
      </c>
      <c r="E20" s="34">
        <f>IFERROR(__xludf.DUMMYFUNCTION("""COMPUTED_VALUE"""),0.8)</f>
        <v>0.8</v>
      </c>
    </row>
    <row r="21">
      <c r="A21" s="34">
        <f>IFERROR(__xludf.DUMMYFUNCTION("""COMPUTED_VALUE"""),103015.0)</f>
        <v>103015</v>
      </c>
      <c r="B21" s="34"/>
      <c r="C21" s="34" t="str">
        <f>IFERROR(__xludf.DUMMYFUNCTION("""COMPUTED_VALUE"""),"ZoomIn")</f>
        <v>ZoomIn</v>
      </c>
      <c r="D21" s="34">
        <f>IFERROR(__xludf.DUMMYFUNCTION("""COMPUTED_VALUE"""),6.0)</f>
        <v>6</v>
      </c>
      <c r="E21" s="34">
        <f>IFERROR(__xludf.DUMMYFUNCTION("""COMPUTED_VALUE"""),0.8)</f>
        <v>0.8</v>
      </c>
    </row>
    <row r="22">
      <c r="A22" s="34">
        <f>IFERROR(__xludf.DUMMYFUNCTION("""COMPUTED_VALUE"""),103023.0)</f>
        <v>103023</v>
      </c>
      <c r="B22" s="34"/>
      <c r="C22" s="34" t="str">
        <f>IFERROR(__xludf.DUMMYFUNCTION("""COMPUTED_VALUE"""),"Shake")</f>
        <v>Shake</v>
      </c>
      <c r="D22" s="34">
        <f>IFERROR(__xludf.DUMMYFUNCTION("""COMPUTED_VALUE"""),0.1)</f>
        <v>0.1</v>
      </c>
      <c r="E22" s="34">
        <f>IFERROR(__xludf.DUMMYFUNCTION("""COMPUTED_VALUE"""),0.8)</f>
        <v>0.8</v>
      </c>
    </row>
    <row r="23">
      <c r="A23" s="34">
        <f>IFERROR(__xludf.DUMMYFUNCTION("""COMPUTED_VALUE"""),103024.0)</f>
        <v>103024</v>
      </c>
      <c r="B23" s="34"/>
      <c r="C23" s="34" t="str">
        <f>IFERROR(__xludf.DUMMYFUNCTION("""COMPUTED_VALUE"""),"ZoomOut")</f>
        <v>ZoomOut</v>
      </c>
      <c r="D23" s="34">
        <f>IFERROR(__xludf.DUMMYFUNCTION("""COMPUTED_VALUE"""),8.0)</f>
        <v>8</v>
      </c>
      <c r="E23" s="34">
        <f>IFERROR(__xludf.DUMMYFUNCTION("""COMPUTED_VALUE"""),0.8)</f>
        <v>0.8</v>
      </c>
    </row>
    <row r="24">
      <c r="A24" s="34">
        <f>IFERROR(__xludf.DUMMYFUNCTION("""COMPUTED_VALUE"""),104001.0)</f>
        <v>104001</v>
      </c>
      <c r="B24" s="34" t="str">
        <f>IFERROR(__xludf.DUMMYFUNCTION("""COMPUTED_VALUE"""),"Obstacle_H")</f>
        <v>Obstacle_H</v>
      </c>
      <c r="C24" s="34" t="str">
        <f>IFERROR(__xludf.DUMMYFUNCTION("""COMPUTED_VALUE"""),"CameraShift")</f>
        <v>CameraShift</v>
      </c>
      <c r="D24" s="34"/>
      <c r="E24" s="34"/>
    </row>
    <row r="25">
      <c r="A25" s="34">
        <f>IFERROR(__xludf.DUMMYFUNCTION("""COMPUTED_VALUE"""),104002.0)</f>
        <v>104002</v>
      </c>
      <c r="B25" s="34"/>
      <c r="C25" s="34" t="str">
        <f>IFERROR(__xludf.DUMMYFUNCTION("""COMPUTED_VALUE"""),"ZoomIn")</f>
        <v>ZoomIn</v>
      </c>
      <c r="D25" s="34">
        <f>IFERROR(__xludf.DUMMYFUNCTION("""COMPUTED_VALUE"""),6.0)</f>
        <v>6</v>
      </c>
      <c r="E25" s="34">
        <f>IFERROR(__xludf.DUMMYFUNCTION("""COMPUTED_VALUE"""),0.5)</f>
        <v>0.5</v>
      </c>
    </row>
    <row r="26">
      <c r="A26" s="34">
        <f>IFERROR(__xludf.DUMMYFUNCTION("""COMPUTED_VALUE"""),104005.0)</f>
        <v>104005</v>
      </c>
      <c r="B26" s="34"/>
      <c r="C26" s="34" t="str">
        <f>IFERROR(__xludf.DUMMYFUNCTION("""COMPUTED_VALUE"""),"Shake")</f>
        <v>Shake</v>
      </c>
      <c r="D26" s="34">
        <f>IFERROR(__xludf.DUMMYFUNCTION("""COMPUTED_VALUE"""),0.1)</f>
        <v>0.1</v>
      </c>
      <c r="E26" s="34">
        <f>IFERROR(__xludf.DUMMYFUNCTION("""COMPUTED_VALUE"""),-1.0)</f>
        <v>-1</v>
      </c>
    </row>
    <row r="27">
      <c r="A27" s="34">
        <f>IFERROR(__xludf.DUMMYFUNCTION("""COMPUTED_VALUE"""),104006.0)</f>
        <v>104006</v>
      </c>
      <c r="B27" s="34" t="str">
        <f>IFERROR(__xludf.DUMMYFUNCTION("""COMPUTED_VALUE"""),"Anna")</f>
        <v>Anna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IFERROR(__xludf.DUMMYFUNCTION("""COMPUTED_VALUE"""),104007.0)</f>
        <v>104007</v>
      </c>
      <c r="B28" s="34" t="str">
        <f>IFERROR(__xludf.DUMMYFUNCTION("""COMPUTED_VALUE"""),"Obstacle_H")</f>
        <v>Obstacle_H</v>
      </c>
      <c r="C28" s="34" t="str">
        <f>IFERROR(__xludf.DUMMYFUNCTION("""COMPUTED_VALUE"""),"CameraShift")</f>
        <v>CameraShift</v>
      </c>
      <c r="D28" s="34"/>
      <c r="E28" s="34"/>
    </row>
    <row r="29">
      <c r="A29" s="34">
        <f>IFERROR(__xludf.DUMMYFUNCTION("""COMPUTED_VALUE"""),104011.0)</f>
        <v>104011</v>
      </c>
      <c r="B29" s="34" t="str">
        <f>IFERROR(__xludf.DUMMYFUNCTION("""COMPUTED_VALUE"""),"Anna")</f>
        <v>Anna</v>
      </c>
      <c r="C29" s="34" t="str">
        <f>IFERROR(__xludf.DUMMYFUNCTION("""COMPUTED_VALUE"""),"CameraShift")</f>
        <v>CameraShift</v>
      </c>
      <c r="D29" s="34"/>
      <c r="E29" s="34"/>
    </row>
    <row r="30">
      <c r="A30" s="34">
        <f>IFERROR(__xludf.DUMMYFUNCTION("""COMPUTED_VALUE"""),201003.0)</f>
        <v>201003</v>
      </c>
      <c r="B30" s="34"/>
      <c r="C30" s="34" t="str">
        <f>IFERROR(__xludf.DUMMYFUNCTION("""COMPUTED_VALUE"""),"Shake")</f>
        <v>Shake</v>
      </c>
      <c r="D30" s="34">
        <f>IFERROR(__xludf.DUMMYFUNCTION("""COMPUTED_VALUE"""),0.05)</f>
        <v>0.05</v>
      </c>
      <c r="E30" s="34">
        <f>IFERROR(__xludf.DUMMYFUNCTION("""COMPUTED_VALUE"""),0.8)</f>
        <v>0.8</v>
      </c>
    </row>
    <row r="31">
      <c r="A31" s="34">
        <f>IFERROR(__xludf.DUMMYFUNCTION("""COMPUTED_VALUE"""),201007.0)</f>
        <v>201007</v>
      </c>
      <c r="B31" s="34"/>
      <c r="C31" s="34" t="str">
        <f>IFERROR(__xludf.DUMMYFUNCTION("""COMPUTED_VALUE"""),"ZoomIn")</f>
        <v>ZoomIn</v>
      </c>
      <c r="D31" s="34">
        <f>IFERROR(__xludf.DUMMYFUNCTION("""COMPUTED_VALUE"""),6.5)</f>
        <v>6.5</v>
      </c>
      <c r="E31" s="34">
        <f>IFERROR(__xludf.DUMMYFUNCTION("""COMPUTED_VALUE"""),0.8)</f>
        <v>0.8</v>
      </c>
    </row>
    <row r="32">
      <c r="A32" s="34">
        <f>IFERROR(__xludf.DUMMYFUNCTION("""COMPUTED_VALUE"""),201008.0)</f>
        <v>201008</v>
      </c>
      <c r="B32" s="34"/>
      <c r="C32" s="34" t="str">
        <f>IFERROR(__xludf.DUMMYFUNCTION("""COMPUTED_VALUE"""),"ZoomIn")</f>
        <v>ZoomIn</v>
      </c>
      <c r="D32" s="34">
        <f>IFERROR(__xludf.DUMMYFUNCTION("""COMPUTED_VALUE"""),6.0)</f>
        <v>6</v>
      </c>
      <c r="E32" s="34">
        <f>IFERROR(__xludf.DUMMYFUNCTION("""COMPUTED_VALUE"""),0.8)</f>
        <v>0.8</v>
      </c>
    </row>
    <row r="33">
      <c r="A33" s="34">
        <f>IFERROR(__xludf.DUMMYFUNCTION("""COMPUTED_VALUE"""),201009.0)</f>
        <v>201009</v>
      </c>
      <c r="B33" s="34"/>
      <c r="C33" s="34" t="str">
        <f>IFERROR(__xludf.DUMMYFUNCTION("""COMPUTED_VALUE"""),"Shake")</f>
        <v>Shake</v>
      </c>
      <c r="D33" s="34">
        <f>IFERROR(__xludf.DUMMYFUNCTION("""COMPUTED_VALUE"""),0.05)</f>
        <v>0.05</v>
      </c>
      <c r="E33" s="34">
        <f>IFERROR(__xludf.DUMMYFUNCTION("""COMPUTED_VALUE"""),0.0)</f>
        <v>0</v>
      </c>
    </row>
    <row r="34">
      <c r="A34" s="34">
        <f>IFERROR(__xludf.DUMMYFUNCTION("""COMPUTED_VALUE"""),201010.0)</f>
        <v>201010</v>
      </c>
      <c r="B34" s="34"/>
      <c r="C34" s="34" t="str">
        <f>IFERROR(__xludf.DUMMYFUNCTION("""COMPUTED_VALUE"""),"ZoomOut")</f>
        <v>ZoomOut</v>
      </c>
      <c r="D34" s="34">
        <f>IFERROR(__xludf.DUMMYFUNCTION("""COMPUTED_VALUE"""),7.0)</f>
        <v>7</v>
      </c>
      <c r="E34" s="34">
        <f>IFERROR(__xludf.DUMMYFUNCTION("""COMPUTED_VALUE"""),0.8)</f>
        <v>0.8</v>
      </c>
    </row>
    <row r="35">
      <c r="A35" s="34">
        <f>IFERROR(__xludf.DUMMYFUNCTION("""COMPUTED_VALUE"""),201016.0)</f>
        <v>201016</v>
      </c>
      <c r="B35" s="34"/>
      <c r="C35" s="34" t="str">
        <f>IFERROR(__xludf.DUMMYFUNCTION("""COMPUTED_VALUE"""),"ZoomIn")</f>
        <v>ZoomIn</v>
      </c>
      <c r="D35" s="34">
        <f>IFERROR(__xludf.DUMMYFUNCTION("""COMPUTED_VALUE"""),6.0)</f>
        <v>6</v>
      </c>
      <c r="E35" s="34">
        <f>IFERROR(__xludf.DUMMYFUNCTION("""COMPUTED_VALUE"""),0.8)</f>
        <v>0.8</v>
      </c>
    </row>
    <row r="36">
      <c r="A36" s="34">
        <f>IFERROR(__xludf.DUMMYFUNCTION("""COMPUTED_VALUE"""),201034.0)</f>
        <v>201034</v>
      </c>
      <c r="B36" s="34" t="str">
        <f>IFERROR(__xludf.DUMMYFUNCTION("""COMPUTED_VALUE"""),"C5")</f>
        <v>C5</v>
      </c>
      <c r="C36" s="34" t="str">
        <f>IFERROR(__xludf.DUMMYFUNCTION("""COMPUTED_VALUE"""),"CameraShift")</f>
        <v>CameraShift</v>
      </c>
      <c r="D36" s="34"/>
      <c r="E36" s="34"/>
    </row>
    <row r="37">
      <c r="A37" s="34">
        <f>IFERROR(__xludf.DUMMYFUNCTION("""COMPUTED_VALUE"""),201038.0)</f>
        <v>201038</v>
      </c>
      <c r="B37" s="34" t="str">
        <f>IFERROR(__xludf.DUMMYFUNCTION("""COMPUTED_VALUE"""),"Yeonong")</f>
        <v>Yeonong</v>
      </c>
      <c r="C37" s="34" t="str">
        <f>IFERROR(__xludf.DUMMYFUNCTION("""COMPUTED_VALUE"""),"CameraShift")</f>
        <v>CameraShift</v>
      </c>
      <c r="D37" s="34"/>
      <c r="E37" s="34"/>
    </row>
    <row r="38">
      <c r="A38" s="34">
        <f>IFERROR(__xludf.DUMMYFUNCTION("""COMPUTED_VALUE"""),201040.0)</f>
        <v>201040</v>
      </c>
      <c r="B38" s="34"/>
      <c r="C38" s="34" t="str">
        <f>IFERROR(__xludf.DUMMYFUNCTION("""COMPUTED_VALUE"""),"ZoomIn")</f>
        <v>ZoomIn</v>
      </c>
      <c r="D38" s="34">
        <f>IFERROR(__xludf.DUMMYFUNCTION("""COMPUTED_VALUE"""),6.0)</f>
        <v>6</v>
      </c>
      <c r="E38" s="34">
        <f>IFERROR(__xludf.DUMMYFUNCTION("""COMPUTED_VALUE"""),2.0)</f>
        <v>2</v>
      </c>
    </row>
    <row r="39">
      <c r="A39" s="34">
        <f>IFERROR(__xludf.DUMMYFUNCTION("""COMPUTED_VALUE"""),201042.0)</f>
        <v>201042</v>
      </c>
      <c r="B39" s="34"/>
      <c r="C39" s="34" t="str">
        <f>IFERROR(__xludf.DUMMYFUNCTION("""COMPUTED_VALUE"""),"FadeOut")</f>
        <v>FadeOut</v>
      </c>
      <c r="D39" s="34"/>
      <c r="E39" s="34">
        <f>IFERROR(__xludf.DUMMYFUNCTION("""COMPUTED_VALUE"""),0.5)</f>
        <v>0.5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IFERROR(__xludf.DUMMYFUNCTION("""COMPUTED_VALUE"""),101019.0)</f>
        <v>101019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IFERROR(__xludf.DUMMYFUNCTION("""COMPUTED_VALUE"""),101021.0)</f>
        <v>101021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IFERROR(__xludf.DUMMYFUNCTION("""COMPUTED_VALUE"""),101023.0)</f>
        <v>101023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IFERROR(__xludf.DUMMYFUNCTION("""COMPUTED_VALUE"""),101024.0)</f>
        <v>101024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IFERROR(__xludf.DUMMYFUNCTION("""COMPUTED_VALUE"""),101025.0)</f>
        <v>101025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IFERROR(__xludf.DUMMYFUNCTION("""COMPUTED_VALUE"""),101027.0)</f>
        <v>101027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IFERROR(__xludf.DUMMYFUNCTION("""COMPUTED_VALUE"""),101028.0)</f>
        <v>101028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IFERROR(__xludf.DUMMYFUNCTION("""COMPUTED_VALUE"""),"Cat")</f>
        <v>Cat</v>
      </c>
      <c r="C14" s="34" t="str">
        <f>IFERROR(__xludf.DUMMYFUNCTION("""COMPUTED_VALUE"""),"Cat_Knockback")</f>
        <v>Cat_Knockback</v>
      </c>
      <c r="D14" s="34" t="str">
        <f>IFERROR(__xludf.DUMMYFUNCTION("""COMPUTED_VALUE"""),"Left")</f>
        <v>Left</v>
      </c>
    </row>
    <row r="15">
      <c r="A15" s="34">
        <f>IFERROR(__xludf.DUMMYFUNCTION("""COMPUTED_VALUE"""),101032.0)</f>
        <v>101032</v>
      </c>
      <c r="B15" s="34" t="str">
        <f>IFERROR(__xludf.DUMMYFUNCTION("""COMPUTED_VALUE"""),"Anna")</f>
        <v>Anna</v>
      </c>
      <c r="C15" s="34" t="str">
        <f>IFERROR(__xludf.DUMMYFUNCTION("""COMPUTED_VALUE"""),"Anna_Fall_Start")</f>
        <v>Anna_Fall_Start</v>
      </c>
      <c r="D15" s="34" t="str">
        <f>IFERROR(__xludf.DUMMYFUNCTION("""COMPUTED_VALUE"""),"Right")</f>
        <v>Right</v>
      </c>
    </row>
    <row r="16">
      <c r="A16" s="34">
        <f>IFERROR(__xludf.DUMMYFUNCTION("""COMPUTED_VALUE"""),103008.0)</f>
        <v>103008</v>
      </c>
      <c r="B16" s="34" t="str">
        <f>IFERROR(__xludf.DUMMYFUNCTION("""COMPUTED_VALUE"""),"BigTree")</f>
        <v>BigTree</v>
      </c>
      <c r="C16" s="34" t="str">
        <f>IFERROR(__xludf.DUMMYFUNCTION("""COMPUTED_VALUE"""),"BigTree_Shaked")</f>
        <v>BigTree_Shaked</v>
      </c>
      <c r="D16" s="34" t="str">
        <f>IFERROR(__xludf.DUMMYFUNCTION("""COMPUTED_VALUE"""),"Right")</f>
        <v>Right</v>
      </c>
    </row>
    <row r="17">
      <c r="A17" s="34">
        <f>IFERROR(__xludf.DUMMYFUNCTION("""COMPUTED_VALUE"""),103009.0)</f>
        <v>103009</v>
      </c>
      <c r="B17" s="34" t="str">
        <f>IFERROR(__xludf.DUMMYFUNCTION("""COMPUTED_VALUE"""),"Scroll")</f>
        <v>Scroll</v>
      </c>
      <c r="C17" s="34" t="str">
        <f>IFERROR(__xludf.DUMMYFUNCTION("""COMPUTED_VALUE"""),"Scroll_Drop")</f>
        <v>Scroll_Drop</v>
      </c>
      <c r="D17" s="34" t="str">
        <f>IFERROR(__xludf.DUMMYFUNCTION("""COMPUTED_VALUE"""),"Right")</f>
        <v>Right</v>
      </c>
    </row>
    <row r="18">
      <c r="A18" s="34">
        <f>IFERROR(__xludf.DUMMYFUNCTION("""COMPUTED_VALUE"""),103016.0)</f>
        <v>103016</v>
      </c>
      <c r="B18" s="34" t="str">
        <f>IFERROR(__xludf.DUMMYFUNCTION("""COMPUTED_VALUE"""),"ChaseGhost")</f>
        <v>ChaseGhost</v>
      </c>
      <c r="C18" s="34" t="str">
        <f>IFERROR(__xludf.DUMMYFUNCTION("""COMPUTED_VALUE"""),"ChaseGhost_Start")</f>
        <v>ChaseGhost_Start</v>
      </c>
      <c r="D18" s="34" t="str">
        <f>IFERROR(__xludf.DUMMYFUNCTION("""COMPUTED_VALUE"""),"Right")</f>
        <v>Right</v>
      </c>
    </row>
    <row r="19">
      <c r="A19" s="34">
        <f>IFERROR(__xludf.DUMMYFUNCTION("""COMPUTED_VALUE"""),103017.0)</f>
        <v>103017</v>
      </c>
      <c r="B19" s="34" t="str">
        <f>IFERROR(__xludf.DUMMYFUNCTION("""COMPUTED_VALUE"""),"Anna")</f>
        <v>Anna</v>
      </c>
      <c r="C19" s="34" t="str">
        <f>IFERROR(__xludf.DUMMYFUNCTION("""COMPUTED_VALUE"""),"Anna_Surprised")</f>
        <v>Anna_Surprised</v>
      </c>
      <c r="D19" s="34" t="str">
        <f>IFERROR(__xludf.DUMMYFUNCTION("""COMPUTED_VALUE"""),"Left")</f>
        <v>Left</v>
      </c>
    </row>
    <row r="20">
      <c r="A20" s="34">
        <f>IFERROR(__xludf.DUMMYFUNCTION("""COMPUTED_VALUE"""),201022.0)</f>
        <v>201022</v>
      </c>
      <c r="B20" s="34" t="str">
        <f>IFERROR(__xludf.DUMMYFUNCTION("""COMPUTED_VALUE"""),"Yeonong")</f>
        <v>Yeonong</v>
      </c>
      <c r="C20" s="34" t="str">
        <f>IFERROR(__xludf.DUMMYFUNCTION("""COMPUTED_VALUE"""),"Yeon_wheel")</f>
        <v>Yeon_wheel</v>
      </c>
      <c r="D20" s="34" t="str">
        <f>IFERROR(__xludf.DUMMYFUNCTION("""COMPUTED_VALUE"""),"Left")</f>
        <v>Left</v>
      </c>
    </row>
    <row r="21">
      <c r="A21" s="34">
        <f>IFERROR(__xludf.DUMMYFUNCTION("""COMPUTED_VALUE"""),201023.0)</f>
        <v>201023</v>
      </c>
      <c r="B21" s="34" t="str">
        <f>IFERROR(__xludf.DUMMYFUNCTION("""COMPUTED_VALUE"""),"Yeonong")</f>
        <v>Yeonong</v>
      </c>
      <c r="C21" s="34" t="str">
        <f>IFERROR(__xludf.DUMMYFUNCTION("""COMPUTED_VALUE"""),"Yeon_wheel")</f>
        <v>Yeon_wheel</v>
      </c>
      <c r="D21" s="34" t="str">
        <f>IFERROR(__xludf.DUMMYFUNCTION("""COMPUTED_VALUE"""),"Left")</f>
        <v>Left</v>
      </c>
    </row>
    <row r="22">
      <c r="A22" s="34">
        <f>IFERROR(__xludf.DUMMYFUNCTION("""COMPUTED_VALUE"""),201036.0)</f>
        <v>201036</v>
      </c>
      <c r="B22" s="34" t="str">
        <f>IFERROR(__xludf.DUMMYFUNCTION("""COMPUTED_VALUE"""),"C5")</f>
        <v>C5</v>
      </c>
      <c r="C22" s="34" t="str">
        <f>IFERROR(__xludf.DUMMYFUNCTION("""COMPUTED_VALUE"""),"C5_hand")</f>
        <v>C5_hand</v>
      </c>
      <c r="D22" s="34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IFERROR(__xludf.DUMMYFUNCTION("""COMPUTED_VALUE"""),101020.0)</f>
        <v>101020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C CONTAINS 'Select'"")"),"ChoiceCount")</f>
        <v>ChoiceCount</v>
      </c>
    </row>
    <row r="2">
      <c r="A2" s="34">
        <f>IFERROR(__xludf.DUMMYFUNCTION("""COMPUTED_VALUE"""),101026.0)</f>
        <v>101026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34">
        <f>IFERROR(__xludf.DUMMYFUNCTION("""COMPUTED_VALUE"""),2.0)</f>
        <v>2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IFERROR(__xludf.DUMMYFUNCTION("""COMPUTED_VALUE"""),"Anna")</f>
        <v>Anna</v>
      </c>
      <c r="D3" s="34">
        <f>IFERROR(__xludf.DUMMYFUNCTION("""COMPUTED_VALUE"""),2.0)</f>
        <v>2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 t="str">
        <f>IFERROR(__xludf.DUMMYFUNCTION("""COMPUTED_VALUE"""),"Anna")</f>
        <v>Anna</v>
      </c>
      <c r="D4" s="34">
        <f>IFERROR(__xludf.DUMMYFUNCTION("""COMPUTED_VALUE"""),2.0)</f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IFERROR(__xludf.DUMMYFUNCTION("""COMPUTED_VALUE"""),101017.0)</f>
        <v>101017</v>
      </c>
      <c r="B2" s="34">
        <f>IFERROR(__xludf.DUMMYFUNCTION("""COMPUTED_VALUE"""),0.0)</f>
        <v>0</v>
      </c>
    </row>
    <row r="3">
      <c r="A3" s="34">
        <f>IFERROR(__xludf.DUMMYFUNCTION("""COMPUTED_VALUE"""),101028.0)</f>
        <v>101028</v>
      </c>
      <c r="B3" s="34"/>
    </row>
    <row r="4">
      <c r="A4" s="34">
        <f>IFERROR(__xludf.DUMMYFUNCTION("""COMPUTED_VALUE"""),101032.0)</f>
        <v>101032</v>
      </c>
      <c r="B4" s="34">
        <f>IFERROR(__xludf.DUMMYFUNCTION("""COMPUTED_VALUE"""),0.2)</f>
        <v>0.2</v>
      </c>
    </row>
    <row r="5">
      <c r="A5" s="34">
        <f>IFERROR(__xludf.DUMMYFUNCTION("""COMPUTED_VALUE"""),102002.0)</f>
        <v>102002</v>
      </c>
      <c r="B5" s="34">
        <f>IFERROR(__xludf.DUMMYFUNCTION("""COMPUTED_VALUE"""),0.0)</f>
        <v>0</v>
      </c>
    </row>
    <row r="6">
      <c r="A6" s="34">
        <f>IFERROR(__xludf.DUMMYFUNCTION("""COMPUTED_VALUE"""),103017.0)</f>
        <v>103017</v>
      </c>
      <c r="B6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52</v>
      </c>
      <c r="C1" s="51" t="s">
        <v>92</v>
      </c>
      <c r="D1" s="51" t="s">
        <v>93</v>
      </c>
      <c r="E1" s="51" t="s">
        <v>61</v>
      </c>
      <c r="F1" s="35" t="s">
        <v>94</v>
      </c>
      <c r="G1" s="35" t="s">
        <v>95</v>
      </c>
      <c r="H1" s="39" t="s">
        <v>62</v>
      </c>
      <c r="I1" s="39" t="s">
        <v>96</v>
      </c>
      <c r="J1" s="39" t="s">
        <v>97</v>
      </c>
      <c r="K1" s="39" t="s">
        <v>93</v>
      </c>
      <c r="L1" s="44" t="s">
        <v>62</v>
      </c>
      <c r="M1" s="44" t="s">
        <v>98</v>
      </c>
      <c r="N1" s="44" t="s">
        <v>99</v>
      </c>
      <c r="O1" s="46" t="s">
        <v>62</v>
      </c>
      <c r="P1" s="46" t="s">
        <v>96</v>
      </c>
      <c r="Q1" s="52" t="s">
        <v>62</v>
      </c>
      <c r="R1" s="52" t="s">
        <v>63</v>
      </c>
      <c r="S1" s="53" t="s">
        <v>100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101</v>
      </c>
      <c r="N2" s="55" t="s">
        <v>102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103</v>
      </c>
      <c r="N3" s="55" t="s">
        <v>102</v>
      </c>
    </row>
    <row r="4">
      <c r="A4" s="6">
        <v>101003.0</v>
      </c>
      <c r="B4" s="56" t="s">
        <v>76</v>
      </c>
      <c r="C4" s="4" t="s">
        <v>52</v>
      </c>
      <c r="D4" s="6">
        <v>0.0</v>
      </c>
      <c r="E4" s="6">
        <v>101004.0</v>
      </c>
      <c r="F4" s="57" t="s">
        <v>104</v>
      </c>
      <c r="G4" s="58" t="s">
        <v>105</v>
      </c>
    </row>
    <row r="5">
      <c r="A5" s="6">
        <v>101004.0</v>
      </c>
      <c r="B5" s="56" t="s">
        <v>77</v>
      </c>
      <c r="C5" s="4" t="s">
        <v>52</v>
      </c>
      <c r="D5" s="6">
        <v>0.0</v>
      </c>
      <c r="E5" s="6">
        <v>101005.0</v>
      </c>
      <c r="F5" s="57" t="s">
        <v>104</v>
      </c>
      <c r="G5" s="58" t="s">
        <v>106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107</v>
      </c>
      <c r="N6" s="55" t="s">
        <v>108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107</v>
      </c>
      <c r="N7" s="55" t="s">
        <v>102</v>
      </c>
    </row>
    <row r="8">
      <c r="A8" s="6">
        <v>101007.0</v>
      </c>
      <c r="B8" s="56" t="s">
        <v>78</v>
      </c>
      <c r="C8" s="4" t="s">
        <v>52</v>
      </c>
      <c r="D8" s="6">
        <v>0.0</v>
      </c>
      <c r="E8" s="6">
        <v>101008.0</v>
      </c>
      <c r="F8" s="57" t="s">
        <v>104</v>
      </c>
      <c r="G8" s="58" t="s">
        <v>105</v>
      </c>
    </row>
    <row r="9">
      <c r="A9" s="6">
        <v>101008.0</v>
      </c>
      <c r="B9" s="59" t="s">
        <v>109</v>
      </c>
      <c r="C9" s="4" t="s">
        <v>52</v>
      </c>
      <c r="D9" s="6">
        <v>0.0</v>
      </c>
      <c r="E9" s="6">
        <v>101009.0</v>
      </c>
      <c r="F9" s="57" t="s">
        <v>104</v>
      </c>
      <c r="G9" s="58" t="s">
        <v>110</v>
      </c>
    </row>
    <row r="10">
      <c r="A10" s="6">
        <v>101009.0</v>
      </c>
      <c r="B10" s="56" t="s">
        <v>80</v>
      </c>
      <c r="C10" s="4" t="s">
        <v>111</v>
      </c>
      <c r="D10" s="6">
        <v>0.0</v>
      </c>
      <c r="E10" s="6">
        <v>101010.0</v>
      </c>
      <c r="F10" s="6"/>
      <c r="G10" s="57"/>
      <c r="H10" s="60"/>
      <c r="I10" s="61" t="s">
        <v>112</v>
      </c>
      <c r="J10" s="60">
        <v>7.0</v>
      </c>
      <c r="K10" s="60">
        <v>0.8</v>
      </c>
      <c r="O10" s="38" t="s">
        <v>21</v>
      </c>
      <c r="P10" s="37" t="s">
        <v>113</v>
      </c>
      <c r="Q10" s="37"/>
      <c r="R10" s="37"/>
    </row>
    <row r="11">
      <c r="A11" s="6">
        <v>101010.0</v>
      </c>
      <c r="B11" s="56" t="s">
        <v>81</v>
      </c>
      <c r="C11" s="4" t="s">
        <v>111</v>
      </c>
      <c r="D11" s="6">
        <v>0.0</v>
      </c>
      <c r="E11" s="6">
        <v>101011.0</v>
      </c>
      <c r="F11" s="6"/>
      <c r="G11" s="57"/>
      <c r="H11" s="60"/>
      <c r="I11" s="61" t="s">
        <v>112</v>
      </c>
      <c r="J11" s="60">
        <v>6.0</v>
      </c>
      <c r="K11" s="60">
        <v>0.8</v>
      </c>
      <c r="O11" s="38" t="s">
        <v>21</v>
      </c>
      <c r="P11" s="37" t="s">
        <v>114</v>
      </c>
      <c r="Q11" s="37"/>
      <c r="R11" s="37"/>
    </row>
    <row r="12">
      <c r="A12" s="6">
        <v>101011.0</v>
      </c>
      <c r="B12" s="56" t="s">
        <v>82</v>
      </c>
      <c r="C12" s="4" t="s">
        <v>111</v>
      </c>
      <c r="D12" s="6">
        <v>2.0</v>
      </c>
      <c r="E12" s="6">
        <v>101012.0</v>
      </c>
      <c r="F12" s="6"/>
      <c r="G12" s="57"/>
      <c r="H12" s="60"/>
      <c r="I12" s="61" t="s">
        <v>115</v>
      </c>
      <c r="J12" s="60">
        <v>0.05</v>
      </c>
      <c r="K12" s="60">
        <v>-1.0</v>
      </c>
      <c r="O12" s="38" t="s">
        <v>21</v>
      </c>
      <c r="P12" s="37" t="s">
        <v>116</v>
      </c>
      <c r="Q12" s="37"/>
      <c r="R12" s="37"/>
    </row>
    <row r="13">
      <c r="A13" s="6">
        <v>101012.0</v>
      </c>
      <c r="B13" s="59" t="s">
        <v>117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118</v>
      </c>
      <c r="I13" s="4" t="s">
        <v>119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120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121</v>
      </c>
      <c r="C15" s="4" t="s">
        <v>111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119</v>
      </c>
      <c r="J15" s="60"/>
      <c r="K15" s="60"/>
      <c r="O15" s="38" t="s">
        <v>21</v>
      </c>
      <c r="P15" s="37" t="s">
        <v>116</v>
      </c>
      <c r="Q15" s="37"/>
      <c r="R15" s="37"/>
    </row>
    <row r="16">
      <c r="A16" s="6">
        <v>101015.0</v>
      </c>
      <c r="B16" s="4" t="s">
        <v>122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116</v>
      </c>
      <c r="Q16" s="37"/>
      <c r="R16" s="37"/>
    </row>
    <row r="17">
      <c r="A17" s="6">
        <v>101016.0</v>
      </c>
      <c r="B17" s="4" t="s">
        <v>123</v>
      </c>
      <c r="C17" s="4" t="s">
        <v>32</v>
      </c>
      <c r="D17" s="6"/>
      <c r="E17" s="6">
        <v>101017.0</v>
      </c>
      <c r="F17" s="6"/>
      <c r="G17" s="57"/>
      <c r="H17" s="4" t="s">
        <v>118</v>
      </c>
      <c r="I17" s="4" t="s">
        <v>119</v>
      </c>
      <c r="J17" s="60"/>
      <c r="K17" s="60"/>
      <c r="O17" s="38"/>
      <c r="P17" s="37"/>
      <c r="Q17" s="37"/>
      <c r="R17" s="37"/>
    </row>
    <row r="18">
      <c r="A18" s="64">
        <v>101017.0</v>
      </c>
      <c r="B18" s="59" t="s">
        <v>124</v>
      </c>
      <c r="C18" s="4" t="s">
        <v>125</v>
      </c>
      <c r="D18" s="6">
        <v>1.0</v>
      </c>
      <c r="E18" s="6">
        <v>101018.0</v>
      </c>
      <c r="F18" s="6"/>
      <c r="G18" s="57"/>
      <c r="H18" s="65"/>
      <c r="I18" s="61" t="s">
        <v>112</v>
      </c>
      <c r="J18" s="60">
        <v>5.5</v>
      </c>
      <c r="K18" s="60">
        <v>0.3</v>
      </c>
      <c r="O18" s="38"/>
      <c r="P18" s="37"/>
      <c r="Q18" s="37"/>
      <c r="R18" s="37"/>
      <c r="S18" s="4">
        <v>0.0</v>
      </c>
    </row>
    <row r="19">
      <c r="A19" s="6">
        <v>101018.0</v>
      </c>
      <c r="B19" s="59" t="s">
        <v>126</v>
      </c>
      <c r="C19" s="4" t="s">
        <v>32</v>
      </c>
      <c r="D19" s="6">
        <v>2.0</v>
      </c>
      <c r="E19" s="6">
        <v>101019.0</v>
      </c>
      <c r="F19" s="6"/>
      <c r="G19" s="57"/>
      <c r="H19" s="65"/>
      <c r="I19" s="61" t="s">
        <v>112</v>
      </c>
      <c r="J19" s="60">
        <v>5.0</v>
      </c>
      <c r="K19" s="60">
        <v>0.3</v>
      </c>
      <c r="O19" s="38"/>
      <c r="P19" s="37"/>
      <c r="Q19" s="37"/>
      <c r="R19" s="37"/>
    </row>
    <row r="20">
      <c r="A20" s="6">
        <v>101019.0</v>
      </c>
      <c r="B20" s="56" t="s">
        <v>127</v>
      </c>
      <c r="C20" s="66" t="s">
        <v>128</v>
      </c>
      <c r="D20" s="67">
        <v>0.0</v>
      </c>
      <c r="E20" s="6">
        <v>101020.0</v>
      </c>
      <c r="F20" s="67"/>
      <c r="G20" s="68"/>
      <c r="H20" s="62"/>
      <c r="I20" s="63"/>
      <c r="J20" s="62"/>
      <c r="K20" s="62"/>
      <c r="L20" s="34" t="s">
        <v>118</v>
      </c>
      <c r="M20" s="34" t="s">
        <v>129</v>
      </c>
      <c r="N20" s="34" t="s">
        <v>108</v>
      </c>
      <c r="O20" s="69"/>
      <c r="P20" s="70"/>
      <c r="Q20" s="70"/>
      <c r="R20" s="70"/>
    </row>
    <row r="21">
      <c r="A21" s="6">
        <v>101020.0</v>
      </c>
      <c r="B21" s="59" t="s">
        <v>130</v>
      </c>
      <c r="C21" s="66" t="s">
        <v>111</v>
      </c>
      <c r="D21" s="67">
        <v>0.0</v>
      </c>
      <c r="E21" s="6">
        <v>101021.0</v>
      </c>
      <c r="F21" s="67"/>
      <c r="G21" s="68"/>
      <c r="H21" s="62" t="s">
        <v>21</v>
      </c>
      <c r="I21" s="63" t="s">
        <v>119</v>
      </c>
      <c r="J21" s="62"/>
      <c r="K21" s="62"/>
      <c r="O21" s="69" t="s">
        <v>21</v>
      </c>
      <c r="P21" s="70" t="s">
        <v>116</v>
      </c>
      <c r="Q21" s="70"/>
      <c r="R21" s="70"/>
    </row>
    <row r="22">
      <c r="A22" s="6">
        <v>101021.0</v>
      </c>
      <c r="B22" s="56" t="s">
        <v>131</v>
      </c>
      <c r="C22" s="66" t="s">
        <v>24</v>
      </c>
      <c r="D22" s="67">
        <v>0.0</v>
      </c>
      <c r="E22" s="6">
        <v>101022.0</v>
      </c>
      <c r="F22" s="67"/>
      <c r="G22" s="68"/>
      <c r="H22" s="62"/>
      <c r="I22" s="63"/>
      <c r="J22" s="62"/>
      <c r="K22" s="62"/>
      <c r="L22" s="34" t="s">
        <v>118</v>
      </c>
      <c r="M22" s="34" t="s">
        <v>132</v>
      </c>
      <c r="N22" s="34" t="s">
        <v>108</v>
      </c>
      <c r="O22" s="69"/>
      <c r="P22" s="70"/>
      <c r="Q22" s="70"/>
      <c r="R22" s="70"/>
    </row>
    <row r="23">
      <c r="A23" s="6">
        <v>101022.0</v>
      </c>
      <c r="B23" s="56" t="s">
        <v>133</v>
      </c>
      <c r="C23" s="66" t="s">
        <v>40</v>
      </c>
      <c r="D23" s="67">
        <v>0.0</v>
      </c>
      <c r="E23" s="6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6">
        <v>101023.0</v>
      </c>
      <c r="B24" s="56" t="s">
        <v>134</v>
      </c>
      <c r="C24" s="66" t="s">
        <v>24</v>
      </c>
      <c r="D24" s="67">
        <v>0.0</v>
      </c>
      <c r="E24" s="6">
        <v>101024.0</v>
      </c>
      <c r="F24" s="67"/>
      <c r="G24" s="68"/>
      <c r="H24" s="62"/>
      <c r="I24" s="63"/>
      <c r="J24" s="62"/>
      <c r="K24" s="62"/>
      <c r="L24" s="34" t="s">
        <v>118</v>
      </c>
      <c r="M24" s="34" t="s">
        <v>135</v>
      </c>
      <c r="N24" s="34" t="s">
        <v>108</v>
      </c>
      <c r="O24" s="69"/>
      <c r="P24" s="70"/>
      <c r="Q24" s="70"/>
      <c r="R24" s="70"/>
    </row>
    <row r="25">
      <c r="A25" s="6">
        <v>101024.0</v>
      </c>
      <c r="B25" s="56" t="s">
        <v>136</v>
      </c>
      <c r="C25" s="66" t="s">
        <v>24</v>
      </c>
      <c r="D25" s="67">
        <v>0.0</v>
      </c>
      <c r="E25" s="6">
        <v>101025.0</v>
      </c>
      <c r="F25" s="67"/>
      <c r="G25" s="68"/>
      <c r="H25" s="62"/>
      <c r="I25" s="63"/>
      <c r="J25" s="62"/>
      <c r="K25" s="62"/>
      <c r="L25" s="34" t="s">
        <v>118</v>
      </c>
      <c r="M25" s="34" t="s">
        <v>137</v>
      </c>
      <c r="N25" s="34" t="s">
        <v>108</v>
      </c>
      <c r="O25" s="69"/>
      <c r="P25" s="70"/>
      <c r="Q25" s="70"/>
      <c r="R25" s="70"/>
    </row>
    <row r="26">
      <c r="A26" s="6">
        <v>101025.0</v>
      </c>
      <c r="B26" s="56" t="s">
        <v>138</v>
      </c>
      <c r="C26" s="66" t="s">
        <v>24</v>
      </c>
      <c r="D26" s="67">
        <v>1.0</v>
      </c>
      <c r="E26" s="6">
        <v>101026.0</v>
      </c>
      <c r="F26" s="67"/>
      <c r="G26" s="68"/>
      <c r="H26" s="62"/>
      <c r="I26" s="63"/>
      <c r="J26" s="62"/>
      <c r="K26" s="62"/>
      <c r="L26" s="34" t="s">
        <v>21</v>
      </c>
      <c r="M26" s="34" t="s">
        <v>139</v>
      </c>
      <c r="N26" s="34" t="s">
        <v>102</v>
      </c>
      <c r="O26" s="69"/>
      <c r="P26" s="70"/>
      <c r="Q26" s="70"/>
      <c r="R26" s="70"/>
    </row>
    <row r="27">
      <c r="A27" s="6">
        <v>101026.0</v>
      </c>
      <c r="B27" s="56" t="s">
        <v>65</v>
      </c>
      <c r="C27" s="66" t="s">
        <v>58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21</v>
      </c>
      <c r="R27" s="37">
        <v>2.0</v>
      </c>
    </row>
    <row r="28">
      <c r="A28" s="6">
        <v>1010261.0</v>
      </c>
      <c r="B28" s="56" t="s">
        <v>140</v>
      </c>
      <c r="C28" s="66" t="s">
        <v>52</v>
      </c>
      <c r="D28" s="67">
        <v>0.0</v>
      </c>
      <c r="E28" s="6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6">
        <v>1010262.0</v>
      </c>
      <c r="B29" s="56" t="s">
        <v>141</v>
      </c>
      <c r="C29" s="66" t="s">
        <v>52</v>
      </c>
      <c r="D29" s="67">
        <v>0.0</v>
      </c>
      <c r="E29" s="6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6">
        <v>101027.0</v>
      </c>
      <c r="B30" s="56" t="s">
        <v>142</v>
      </c>
      <c r="C30" s="66" t="s">
        <v>143</v>
      </c>
      <c r="D30" s="67">
        <v>0.0</v>
      </c>
      <c r="E30" s="6">
        <v>101028.0</v>
      </c>
      <c r="F30" s="67"/>
      <c r="G30" s="68"/>
      <c r="H30" s="62"/>
      <c r="I30" s="63" t="s">
        <v>112</v>
      </c>
      <c r="J30" s="62">
        <v>5.5</v>
      </c>
      <c r="K30" s="62">
        <v>3.0</v>
      </c>
      <c r="L30" s="34" t="s">
        <v>21</v>
      </c>
      <c r="M30" s="34" t="s">
        <v>144</v>
      </c>
      <c r="N30" s="34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4" t="s">
        <v>146</v>
      </c>
      <c r="D31" s="67">
        <v>0.0</v>
      </c>
      <c r="E31" s="6">
        <v>101029.0</v>
      </c>
      <c r="F31" s="67"/>
      <c r="G31" s="68"/>
      <c r="H31" s="62"/>
      <c r="I31" s="63"/>
      <c r="J31" s="62"/>
      <c r="K31" s="62"/>
      <c r="L31" s="34" t="s">
        <v>118</v>
      </c>
      <c r="M31" s="34" t="s">
        <v>147</v>
      </c>
      <c r="N31" s="34" t="s">
        <v>108</v>
      </c>
      <c r="O31" s="69"/>
      <c r="P31" s="70"/>
      <c r="Q31" s="70"/>
      <c r="R31" s="70"/>
    </row>
    <row r="32">
      <c r="A32" s="6">
        <v>101029.0</v>
      </c>
      <c r="B32" s="56" t="s">
        <v>148</v>
      </c>
      <c r="C32" s="66" t="s">
        <v>32</v>
      </c>
      <c r="D32" s="67">
        <v>0.0</v>
      </c>
      <c r="E32" s="6">
        <v>101026.0</v>
      </c>
      <c r="F32" s="67"/>
      <c r="G32" s="68"/>
      <c r="H32" s="62"/>
      <c r="I32" s="63" t="s">
        <v>149</v>
      </c>
      <c r="J32" s="62">
        <v>6.0</v>
      </c>
      <c r="K32" s="62">
        <v>0.8</v>
      </c>
      <c r="O32" s="69"/>
      <c r="P32" s="70"/>
      <c r="Q32" s="70"/>
      <c r="R32" s="70"/>
    </row>
    <row r="33">
      <c r="A33" s="6">
        <v>101030.0</v>
      </c>
      <c r="B33" s="56" t="s">
        <v>150</v>
      </c>
      <c r="C33" s="66" t="s">
        <v>143</v>
      </c>
      <c r="D33" s="67">
        <v>2.0</v>
      </c>
      <c r="E33" s="6">
        <v>101031.0</v>
      </c>
      <c r="F33" s="67"/>
      <c r="G33" s="68"/>
      <c r="H33" s="62" t="s">
        <v>118</v>
      </c>
      <c r="I33" s="63" t="s">
        <v>112</v>
      </c>
      <c r="J33" s="62">
        <v>5.5</v>
      </c>
      <c r="K33" s="62">
        <v>2.0</v>
      </c>
      <c r="L33" s="34" t="s">
        <v>118</v>
      </c>
      <c r="M33" s="34" t="s">
        <v>151</v>
      </c>
      <c r="N33" s="34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4" t="s">
        <v>24</v>
      </c>
      <c r="D34" s="67">
        <v>0.0</v>
      </c>
      <c r="E34" s="6">
        <v>101032.0</v>
      </c>
      <c r="F34" s="67"/>
      <c r="G34" s="68"/>
      <c r="H34" s="62"/>
      <c r="I34" s="63"/>
      <c r="J34" s="62"/>
      <c r="K34" s="62"/>
      <c r="L34" s="4" t="s">
        <v>118</v>
      </c>
      <c r="M34" s="4" t="s">
        <v>153</v>
      </c>
      <c r="N34" s="4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4" t="s">
        <v>146</v>
      </c>
      <c r="D35" s="67">
        <v>0.0</v>
      </c>
      <c r="E35" s="6">
        <v>101033.0</v>
      </c>
      <c r="F35" s="67"/>
      <c r="G35" s="68"/>
      <c r="H35" s="62"/>
      <c r="I35" s="63"/>
      <c r="J35" s="62"/>
      <c r="K35" s="62"/>
      <c r="L35" s="34" t="s">
        <v>21</v>
      </c>
      <c r="M35" s="34" t="s">
        <v>155</v>
      </c>
      <c r="N35" s="34" t="s">
        <v>102</v>
      </c>
      <c r="O35" s="69"/>
      <c r="P35" s="70"/>
      <c r="Q35" s="70"/>
      <c r="R35" s="70"/>
      <c r="S35" s="4">
        <v>0.2</v>
      </c>
    </row>
    <row r="36">
      <c r="A36" s="72">
        <v>101033.0</v>
      </c>
      <c r="B36" s="56" t="s">
        <v>156</v>
      </c>
      <c r="C36" s="66" t="s">
        <v>40</v>
      </c>
      <c r="D36" s="67">
        <v>0.0</v>
      </c>
      <c r="E36" s="6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6">
        <v>101034.0</v>
      </c>
      <c r="B37" s="56" t="s">
        <v>157</v>
      </c>
      <c r="C37" s="66" t="s">
        <v>52</v>
      </c>
      <c r="D37" s="67">
        <v>0.0</v>
      </c>
      <c r="E37" s="6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6">
        <v>101035.0</v>
      </c>
      <c r="B38" s="56" t="s">
        <v>159</v>
      </c>
      <c r="C38" s="66" t="s">
        <v>32</v>
      </c>
      <c r="D38" s="67">
        <v>0.0</v>
      </c>
      <c r="E38" s="6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6">
        <v>101036.0</v>
      </c>
      <c r="B39" s="56" t="s">
        <v>160</v>
      </c>
      <c r="C39" s="66" t="s">
        <v>18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4" t="s">
        <v>32</v>
      </c>
      <c r="D40" s="6">
        <v>0.0</v>
      </c>
      <c r="E40" s="4">
        <v>102002.0</v>
      </c>
      <c r="I40" s="61" t="s">
        <v>112</v>
      </c>
      <c r="J40" s="60">
        <v>6.0</v>
      </c>
      <c r="K40" s="60">
        <v>0.8</v>
      </c>
    </row>
    <row r="41">
      <c r="A41" s="75">
        <v>102002.0</v>
      </c>
      <c r="B41" s="74" t="s">
        <v>163</v>
      </c>
      <c r="C41" s="4" t="s">
        <v>125</v>
      </c>
      <c r="D41" s="6">
        <v>0.0</v>
      </c>
      <c r="E41" s="4">
        <v>102003.0</v>
      </c>
      <c r="H41" s="4" t="s">
        <v>118</v>
      </c>
      <c r="I41" s="4" t="s">
        <v>119</v>
      </c>
      <c r="S41" s="4">
        <v>0.0</v>
      </c>
    </row>
    <row r="42">
      <c r="A42" s="73">
        <v>102003.0</v>
      </c>
      <c r="B42" s="74" t="s">
        <v>164</v>
      </c>
      <c r="C42" s="4" t="s">
        <v>40</v>
      </c>
      <c r="D42" s="6">
        <v>0.0</v>
      </c>
      <c r="E42" s="4">
        <v>102004.0</v>
      </c>
    </row>
    <row r="43">
      <c r="A43" s="73">
        <v>102004.0</v>
      </c>
      <c r="B43" s="74" t="s">
        <v>165</v>
      </c>
      <c r="C43" s="4" t="s">
        <v>32</v>
      </c>
      <c r="D43" s="6">
        <v>0.0</v>
      </c>
      <c r="E43" s="4">
        <v>102005.0</v>
      </c>
      <c r="H43" s="4" t="s">
        <v>21</v>
      </c>
      <c r="I43" s="4" t="s">
        <v>119</v>
      </c>
    </row>
    <row r="44">
      <c r="A44" s="73">
        <v>102005.0</v>
      </c>
      <c r="B44" s="74" t="s">
        <v>166</v>
      </c>
      <c r="C44" s="4" t="s">
        <v>32</v>
      </c>
      <c r="D44" s="6">
        <v>0.0</v>
      </c>
      <c r="E44" s="4">
        <v>102006.0</v>
      </c>
      <c r="I44" s="61" t="s">
        <v>149</v>
      </c>
      <c r="J44" s="6">
        <v>8.0</v>
      </c>
      <c r="K44" s="6">
        <v>0.8</v>
      </c>
    </row>
    <row r="45">
      <c r="A45" s="73">
        <v>102006.0</v>
      </c>
      <c r="B45" s="74" t="s">
        <v>167</v>
      </c>
      <c r="C45" s="4" t="s">
        <v>18</v>
      </c>
      <c r="D45" s="6">
        <v>0.0</v>
      </c>
      <c r="E45" s="4" t="s">
        <v>161</v>
      </c>
    </row>
    <row r="46">
      <c r="A46" s="6">
        <v>103001.0</v>
      </c>
      <c r="B46" s="4" t="s">
        <v>168</v>
      </c>
      <c r="C46" s="4" t="s">
        <v>40</v>
      </c>
      <c r="D46" s="76">
        <v>1.0</v>
      </c>
      <c r="E46" s="6">
        <v>103002.0</v>
      </c>
    </row>
    <row r="47">
      <c r="A47" s="6">
        <v>103002.0</v>
      </c>
      <c r="B47" s="4" t="s">
        <v>169</v>
      </c>
      <c r="C47" s="4" t="s">
        <v>32</v>
      </c>
      <c r="D47" s="6">
        <v>1.0</v>
      </c>
      <c r="E47" s="6">
        <v>103003.0</v>
      </c>
      <c r="H47" s="6"/>
      <c r="I47" s="61" t="s">
        <v>112</v>
      </c>
      <c r="J47" s="6">
        <v>6.0</v>
      </c>
      <c r="K47" s="6">
        <v>0.8</v>
      </c>
    </row>
    <row r="48">
      <c r="A48" s="6">
        <v>103003.0</v>
      </c>
      <c r="B48" s="4" t="s">
        <v>170</v>
      </c>
      <c r="C48" s="4" t="s">
        <v>52</v>
      </c>
      <c r="D48" s="6">
        <v>0.0</v>
      </c>
      <c r="E48" s="6">
        <v>103004.0</v>
      </c>
      <c r="F48" s="57" t="s">
        <v>104</v>
      </c>
      <c r="G48" s="58" t="s">
        <v>171</v>
      </c>
    </row>
    <row r="49">
      <c r="A49" s="6">
        <v>103004.0</v>
      </c>
      <c r="B49" s="4" t="s">
        <v>172</v>
      </c>
      <c r="C49" s="4" t="s">
        <v>52</v>
      </c>
      <c r="D49" s="6">
        <v>0.0</v>
      </c>
      <c r="E49" s="6">
        <v>103005.0</v>
      </c>
      <c r="F49" s="57" t="s">
        <v>104</v>
      </c>
      <c r="G49" s="58" t="s">
        <v>173</v>
      </c>
    </row>
    <row r="50">
      <c r="A50" s="6">
        <v>103005.0</v>
      </c>
      <c r="B50" s="4" t="s">
        <v>83</v>
      </c>
      <c r="C50" s="4" t="s">
        <v>32</v>
      </c>
      <c r="D50" s="6">
        <v>0.0</v>
      </c>
      <c r="E50" s="6">
        <v>103006.0</v>
      </c>
      <c r="H50" s="6"/>
      <c r="I50" s="61" t="s">
        <v>149</v>
      </c>
      <c r="J50" s="6">
        <v>7.0</v>
      </c>
      <c r="K50" s="6">
        <v>0.8</v>
      </c>
    </row>
    <row r="51">
      <c r="A51" s="6">
        <v>103006.0</v>
      </c>
      <c r="B51" s="4" t="s">
        <v>174</v>
      </c>
      <c r="C51" s="4" t="s">
        <v>40</v>
      </c>
      <c r="D51" s="6">
        <v>0.0</v>
      </c>
      <c r="E51" s="6">
        <v>103007.0</v>
      </c>
      <c r="H51" s="6"/>
      <c r="I51" s="61"/>
      <c r="J51" s="6"/>
      <c r="K51" s="6"/>
    </row>
    <row r="52">
      <c r="A52" s="6">
        <v>103007.0</v>
      </c>
      <c r="B52" s="4" t="s">
        <v>175</v>
      </c>
      <c r="C52" s="4" t="s">
        <v>40</v>
      </c>
      <c r="D52" s="6">
        <v>0.0</v>
      </c>
      <c r="E52" s="6">
        <v>103008.0</v>
      </c>
    </row>
    <row r="53">
      <c r="A53" s="6">
        <v>103008.0</v>
      </c>
      <c r="B53" s="4" t="s">
        <v>176</v>
      </c>
      <c r="C53" s="4" t="s">
        <v>24</v>
      </c>
      <c r="D53" s="6">
        <v>1.0</v>
      </c>
      <c r="E53" s="6">
        <v>103009.0</v>
      </c>
      <c r="L53" s="4" t="s">
        <v>37</v>
      </c>
      <c r="M53" s="4" t="s">
        <v>39</v>
      </c>
      <c r="N53" s="55" t="s">
        <v>102</v>
      </c>
    </row>
    <row r="54">
      <c r="A54" s="6">
        <v>103009.0</v>
      </c>
      <c r="B54" s="4" t="s">
        <v>177</v>
      </c>
      <c r="C54" s="4" t="s">
        <v>24</v>
      </c>
      <c r="D54" s="6">
        <v>0.0</v>
      </c>
      <c r="E54" s="6">
        <v>103010.0</v>
      </c>
      <c r="L54" s="4" t="s">
        <v>178</v>
      </c>
      <c r="M54" s="4" t="s">
        <v>179</v>
      </c>
      <c r="N54" s="4" t="s">
        <v>102</v>
      </c>
    </row>
    <row r="55">
      <c r="A55" s="6">
        <v>103010.0</v>
      </c>
      <c r="B55" s="4" t="s">
        <v>180</v>
      </c>
      <c r="C55" s="4" t="s">
        <v>40</v>
      </c>
      <c r="D55" s="6">
        <v>0.0</v>
      </c>
      <c r="E55" s="6">
        <v>103011.0</v>
      </c>
    </row>
    <row r="56">
      <c r="A56" s="6">
        <v>103011.0</v>
      </c>
      <c r="B56" s="4" t="s">
        <v>181</v>
      </c>
      <c r="C56" s="4" t="s">
        <v>40</v>
      </c>
      <c r="D56" s="6">
        <v>0.0</v>
      </c>
      <c r="E56" s="6">
        <v>103012.0</v>
      </c>
    </row>
    <row r="57">
      <c r="A57" s="6">
        <v>103012.0</v>
      </c>
      <c r="B57" s="4" t="s">
        <v>182</v>
      </c>
      <c r="C57" s="4" t="s">
        <v>40</v>
      </c>
      <c r="D57" s="6">
        <v>0.0</v>
      </c>
      <c r="E57" s="6">
        <v>103013.0</v>
      </c>
    </row>
    <row r="58">
      <c r="A58" s="6">
        <v>103013.0</v>
      </c>
      <c r="B58" s="4" t="s">
        <v>183</v>
      </c>
      <c r="C58" s="4" t="s">
        <v>40</v>
      </c>
      <c r="D58" s="6">
        <v>0.0</v>
      </c>
      <c r="E58" s="6">
        <v>103014.0</v>
      </c>
    </row>
    <row r="59">
      <c r="A59" s="6">
        <v>103014.0</v>
      </c>
      <c r="B59" s="4" t="s">
        <v>184</v>
      </c>
      <c r="C59" s="4" t="s">
        <v>40</v>
      </c>
      <c r="D59" s="6">
        <v>0.0</v>
      </c>
      <c r="E59" s="6">
        <v>103015.0</v>
      </c>
    </row>
    <row r="60">
      <c r="A60" s="6">
        <v>103015.0</v>
      </c>
      <c r="B60" s="4" t="s">
        <v>169</v>
      </c>
      <c r="C60" s="4" t="s">
        <v>32</v>
      </c>
      <c r="D60" s="6">
        <v>0.0</v>
      </c>
      <c r="E60" s="6">
        <v>103016.0</v>
      </c>
      <c r="H60" s="6"/>
      <c r="I60" s="61" t="s">
        <v>112</v>
      </c>
      <c r="J60" s="6">
        <v>6.0</v>
      </c>
      <c r="K60" s="6">
        <v>0.8</v>
      </c>
    </row>
    <row r="61">
      <c r="A61" s="6">
        <v>103016.0</v>
      </c>
      <c r="B61" s="4" t="s">
        <v>185</v>
      </c>
      <c r="C61" s="4" t="s">
        <v>24</v>
      </c>
      <c r="D61" s="6">
        <v>0.0</v>
      </c>
      <c r="E61" s="6">
        <v>103017.0</v>
      </c>
      <c r="L61" s="4" t="s">
        <v>29</v>
      </c>
      <c r="M61" s="4" t="s">
        <v>31</v>
      </c>
      <c r="N61" s="55" t="s">
        <v>102</v>
      </c>
    </row>
    <row r="62">
      <c r="A62" s="64">
        <v>103017.0</v>
      </c>
      <c r="B62" s="4" t="s">
        <v>186</v>
      </c>
      <c r="C62" s="4" t="s">
        <v>146</v>
      </c>
      <c r="D62" s="6">
        <v>2.0</v>
      </c>
      <c r="E62" s="6">
        <v>103018.0</v>
      </c>
      <c r="L62" s="55" t="s">
        <v>21</v>
      </c>
      <c r="M62" s="4" t="s">
        <v>158</v>
      </c>
      <c r="N62" s="55" t="s">
        <v>108</v>
      </c>
      <c r="S62" s="4">
        <v>0.5</v>
      </c>
    </row>
    <row r="63">
      <c r="A63" s="6">
        <v>103018.0</v>
      </c>
      <c r="B63" s="4" t="s">
        <v>187</v>
      </c>
      <c r="C63" s="4" t="s">
        <v>52</v>
      </c>
      <c r="D63" s="6">
        <v>0.0</v>
      </c>
      <c r="E63" s="6">
        <v>103019.0</v>
      </c>
      <c r="F63" s="57" t="s">
        <v>104</v>
      </c>
      <c r="G63" s="58" t="s">
        <v>105</v>
      </c>
    </row>
    <row r="64">
      <c r="A64" s="6">
        <v>103019.0</v>
      </c>
      <c r="B64" s="4" t="s">
        <v>188</v>
      </c>
      <c r="C64" s="4" t="s">
        <v>55</v>
      </c>
      <c r="D64" s="6">
        <v>0.0</v>
      </c>
      <c r="E64" s="6">
        <v>103020.0</v>
      </c>
      <c r="O64" s="4" t="s">
        <v>29</v>
      </c>
      <c r="P64" s="37" t="s">
        <v>113</v>
      </c>
    </row>
    <row r="65">
      <c r="A65" s="6">
        <v>103020.0</v>
      </c>
      <c r="B65" s="4" t="s">
        <v>189</v>
      </c>
      <c r="C65" s="4" t="s">
        <v>55</v>
      </c>
      <c r="D65" s="6">
        <v>0.0</v>
      </c>
      <c r="E65" s="6">
        <v>103021.0</v>
      </c>
      <c r="N65" s="55"/>
      <c r="O65" s="4" t="s">
        <v>29</v>
      </c>
      <c r="P65" s="37" t="s">
        <v>113</v>
      </c>
    </row>
    <row r="66">
      <c r="A66" s="6">
        <v>103021.0</v>
      </c>
      <c r="B66" s="4" t="s">
        <v>190</v>
      </c>
      <c r="C66" s="4" t="s">
        <v>55</v>
      </c>
      <c r="D66" s="6">
        <v>0.0</v>
      </c>
      <c r="E66" s="6">
        <v>103022.0</v>
      </c>
      <c r="N66" s="55"/>
      <c r="O66" s="4" t="s">
        <v>29</v>
      </c>
      <c r="P66" s="37" t="s">
        <v>116</v>
      </c>
    </row>
    <row r="67">
      <c r="A67" s="6">
        <v>103022.0</v>
      </c>
      <c r="B67" s="4" t="s">
        <v>191</v>
      </c>
      <c r="C67" s="4" t="s">
        <v>55</v>
      </c>
      <c r="D67" s="6">
        <v>0.0</v>
      </c>
      <c r="E67" s="6">
        <v>103023.0</v>
      </c>
      <c r="N67" s="55"/>
      <c r="O67" s="4" t="s">
        <v>29</v>
      </c>
      <c r="P67" s="37" t="s">
        <v>116</v>
      </c>
    </row>
    <row r="68">
      <c r="A68" s="6">
        <v>103023.0</v>
      </c>
      <c r="B68" s="4" t="s">
        <v>192</v>
      </c>
      <c r="C68" s="4" t="s">
        <v>111</v>
      </c>
      <c r="D68" s="6">
        <v>0.0</v>
      </c>
      <c r="E68" s="6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4" t="s">
        <v>29</v>
      </c>
      <c r="P68" s="37" t="s">
        <v>116</v>
      </c>
    </row>
    <row r="69">
      <c r="A69" s="6">
        <v>103024.0</v>
      </c>
      <c r="B69" s="4" t="s">
        <v>83</v>
      </c>
      <c r="C69" s="4" t="s">
        <v>32</v>
      </c>
      <c r="D69" s="6">
        <v>0.0</v>
      </c>
      <c r="E69" s="6">
        <v>103025.0</v>
      </c>
      <c r="H69" s="6"/>
      <c r="I69" s="61" t="s">
        <v>149</v>
      </c>
      <c r="J69" s="6">
        <v>8.0</v>
      </c>
      <c r="K69" s="6">
        <v>0.8</v>
      </c>
    </row>
    <row r="70">
      <c r="A70" s="6">
        <v>103025.0</v>
      </c>
      <c r="B70" s="77" t="s">
        <v>193</v>
      </c>
      <c r="C70" s="4" t="s">
        <v>40</v>
      </c>
      <c r="D70" s="6">
        <v>0.0</v>
      </c>
      <c r="E70" s="6">
        <v>103026.0</v>
      </c>
    </row>
    <row r="71">
      <c r="A71" s="6">
        <v>103026.0</v>
      </c>
      <c r="C71" s="4" t="s">
        <v>18</v>
      </c>
      <c r="D71" s="6">
        <v>0.0</v>
      </c>
      <c r="E71" s="4" t="s">
        <v>161</v>
      </c>
    </row>
    <row r="72">
      <c r="A72" s="73">
        <v>104001.0</v>
      </c>
      <c r="B72" s="74" t="s">
        <v>194</v>
      </c>
      <c r="C72" s="4" t="s">
        <v>32</v>
      </c>
      <c r="D72" s="6">
        <v>0.0</v>
      </c>
      <c r="E72" s="6">
        <v>104002.0</v>
      </c>
      <c r="H72" s="4" t="s">
        <v>195</v>
      </c>
      <c r="I72" s="4" t="s">
        <v>119</v>
      </c>
    </row>
    <row r="73">
      <c r="A73" s="73">
        <v>104002.0</v>
      </c>
      <c r="B73" s="74" t="s">
        <v>169</v>
      </c>
      <c r="C73" s="4" t="s">
        <v>32</v>
      </c>
      <c r="D73" s="6">
        <v>0.0</v>
      </c>
      <c r="E73" s="6">
        <v>104003.0</v>
      </c>
      <c r="I73" s="61" t="s">
        <v>112</v>
      </c>
      <c r="J73" s="6">
        <v>6.0</v>
      </c>
      <c r="K73" s="6">
        <v>0.5</v>
      </c>
    </row>
    <row r="74">
      <c r="A74" s="73">
        <v>104003.0</v>
      </c>
      <c r="B74" s="74" t="s">
        <v>196</v>
      </c>
      <c r="C74" s="4" t="s">
        <v>55</v>
      </c>
      <c r="D74" s="6">
        <v>0.0</v>
      </c>
      <c r="E74" s="6">
        <v>104004.0</v>
      </c>
      <c r="O74" s="4" t="s">
        <v>195</v>
      </c>
      <c r="P74" s="37" t="s">
        <v>116</v>
      </c>
    </row>
    <row r="75">
      <c r="A75" s="73">
        <v>104004.0</v>
      </c>
      <c r="B75" s="74" t="s">
        <v>197</v>
      </c>
      <c r="C75" s="4" t="s">
        <v>55</v>
      </c>
      <c r="D75" s="6">
        <v>0.0</v>
      </c>
      <c r="E75" s="6">
        <v>104005.0</v>
      </c>
      <c r="O75" s="4" t="s">
        <v>195</v>
      </c>
      <c r="P75" s="37" t="s">
        <v>116</v>
      </c>
    </row>
    <row r="76">
      <c r="A76" s="73">
        <v>104005.0</v>
      </c>
      <c r="B76" s="74" t="s">
        <v>198</v>
      </c>
      <c r="C76" s="4" t="s">
        <v>111</v>
      </c>
      <c r="D76" s="6">
        <v>0.0</v>
      </c>
      <c r="E76" s="6">
        <v>104006.0</v>
      </c>
      <c r="I76" s="61" t="s">
        <v>115</v>
      </c>
      <c r="J76" s="60">
        <v>0.1</v>
      </c>
      <c r="K76" s="60">
        <v>-1.0</v>
      </c>
      <c r="O76" s="4" t="s">
        <v>195</v>
      </c>
      <c r="P76" s="37" t="s">
        <v>116</v>
      </c>
    </row>
    <row r="77">
      <c r="A77" s="73">
        <v>104006.0</v>
      </c>
      <c r="B77" s="74" t="s">
        <v>65</v>
      </c>
      <c r="C77" s="4" t="s">
        <v>199</v>
      </c>
      <c r="D77" s="6">
        <v>0.0</v>
      </c>
      <c r="E77" s="6">
        <v>0.0</v>
      </c>
      <c r="H77" s="4" t="s">
        <v>21</v>
      </c>
      <c r="I77" s="4" t="s">
        <v>119</v>
      </c>
      <c r="J77" s="60"/>
      <c r="K77" s="60"/>
      <c r="Q77" s="4" t="s">
        <v>21</v>
      </c>
      <c r="R77" s="4">
        <v>2.0</v>
      </c>
    </row>
    <row r="78">
      <c r="A78" s="73">
        <v>1040061.0</v>
      </c>
      <c r="B78" s="74" t="s">
        <v>200</v>
      </c>
      <c r="C78" s="66" t="s">
        <v>52</v>
      </c>
      <c r="D78" s="6">
        <v>0.0</v>
      </c>
      <c r="E78" s="6">
        <v>104007.0</v>
      </c>
    </row>
    <row r="79">
      <c r="A79" s="73">
        <v>1040062.0</v>
      </c>
      <c r="B79" s="74" t="s">
        <v>201</v>
      </c>
      <c r="C79" s="66" t="s">
        <v>52</v>
      </c>
      <c r="D79" s="6">
        <v>0.0</v>
      </c>
      <c r="E79" s="6">
        <v>104007.0</v>
      </c>
    </row>
    <row r="80">
      <c r="A80" s="73">
        <v>104007.0</v>
      </c>
      <c r="B80" s="74" t="s">
        <v>202</v>
      </c>
      <c r="C80" s="4" t="s">
        <v>111</v>
      </c>
      <c r="D80" s="6">
        <v>0.0</v>
      </c>
      <c r="E80" s="6">
        <v>104008.0</v>
      </c>
      <c r="H80" s="4" t="s">
        <v>195</v>
      </c>
      <c r="I80" s="4" t="s">
        <v>119</v>
      </c>
      <c r="O80" s="4" t="s">
        <v>195</v>
      </c>
      <c r="P80" s="37" t="s">
        <v>113</v>
      </c>
    </row>
    <row r="81">
      <c r="A81" s="73">
        <v>104008.0</v>
      </c>
      <c r="B81" s="74" t="s">
        <v>203</v>
      </c>
      <c r="C81" s="4" t="s">
        <v>55</v>
      </c>
      <c r="D81" s="6">
        <v>0.0</v>
      </c>
      <c r="E81" s="6">
        <v>104009.0</v>
      </c>
      <c r="O81" s="4" t="s">
        <v>195</v>
      </c>
      <c r="P81" s="37" t="s">
        <v>113</v>
      </c>
    </row>
    <row r="82">
      <c r="A82" s="72">
        <v>104009.0</v>
      </c>
      <c r="B82" s="74" t="s">
        <v>204</v>
      </c>
      <c r="C82" s="4" t="s">
        <v>40</v>
      </c>
      <c r="D82" s="6">
        <v>0.0</v>
      </c>
      <c r="E82" s="6">
        <v>104010.0</v>
      </c>
    </row>
    <row r="83">
      <c r="A83" s="73">
        <v>104010.0</v>
      </c>
      <c r="B83" s="74" t="s">
        <v>205</v>
      </c>
      <c r="C83" s="4" t="s">
        <v>55</v>
      </c>
      <c r="D83" s="6">
        <v>0.0</v>
      </c>
      <c r="E83" s="6">
        <v>104011.0</v>
      </c>
      <c r="O83" s="4" t="s">
        <v>195</v>
      </c>
    </row>
    <row r="84">
      <c r="A84" s="73">
        <v>104011.0</v>
      </c>
      <c r="B84" s="74" t="s">
        <v>206</v>
      </c>
      <c r="C84" s="4" t="s">
        <v>32</v>
      </c>
      <c r="D84" s="6">
        <v>0.0</v>
      </c>
      <c r="E84" s="6">
        <v>104012.0</v>
      </c>
      <c r="H84" s="4" t="s">
        <v>21</v>
      </c>
      <c r="I84" s="4" t="s">
        <v>119</v>
      </c>
    </row>
    <row r="85">
      <c r="A85" s="73">
        <v>104012.0</v>
      </c>
      <c r="B85" s="74" t="s">
        <v>207</v>
      </c>
      <c r="C85" s="4" t="s">
        <v>18</v>
      </c>
      <c r="D85" s="6">
        <v>0.0</v>
      </c>
      <c r="E85" s="6" t="s">
        <v>161</v>
      </c>
    </row>
    <row r="86">
      <c r="A86" s="6">
        <v>201001.0</v>
      </c>
      <c r="B86" s="78" t="s">
        <v>208</v>
      </c>
      <c r="C86" s="6" t="s">
        <v>52</v>
      </c>
      <c r="D86" s="6">
        <v>0.0</v>
      </c>
      <c r="E86" s="6">
        <v>201002.0</v>
      </c>
      <c r="F86" s="6" t="s">
        <v>209</v>
      </c>
      <c r="G86" s="6" t="s">
        <v>210</v>
      </c>
      <c r="H86" s="32"/>
      <c r="I86" s="32"/>
      <c r="J86" s="32"/>
    </row>
    <row r="87">
      <c r="A87" s="6">
        <v>201002.0</v>
      </c>
      <c r="B87" s="78" t="s">
        <v>211</v>
      </c>
      <c r="C87" s="6" t="s">
        <v>52</v>
      </c>
      <c r="D87" s="6">
        <v>0.0</v>
      </c>
      <c r="E87" s="6">
        <v>201003.0</v>
      </c>
      <c r="F87" s="6" t="s">
        <v>209</v>
      </c>
      <c r="G87" s="6" t="s">
        <v>210</v>
      </c>
      <c r="H87" s="32"/>
      <c r="I87" s="32"/>
      <c r="J87" s="32"/>
    </row>
    <row r="88">
      <c r="A88" s="6">
        <v>201003.0</v>
      </c>
      <c r="B88" s="78" t="s">
        <v>212</v>
      </c>
      <c r="C88" s="6" t="s">
        <v>213</v>
      </c>
      <c r="D88" s="6">
        <v>0.0</v>
      </c>
      <c r="E88" s="6">
        <v>201004.0</v>
      </c>
      <c r="F88" s="6" t="s">
        <v>104</v>
      </c>
      <c r="G88" s="6" t="s">
        <v>158</v>
      </c>
      <c r="H88" s="32"/>
      <c r="I88" s="60" t="s">
        <v>115</v>
      </c>
      <c r="J88" s="60">
        <v>0.05</v>
      </c>
      <c r="K88" s="60">
        <v>0.8</v>
      </c>
    </row>
    <row r="89">
      <c r="A89" s="6">
        <v>201004.0</v>
      </c>
      <c r="B89" s="78" t="s">
        <v>214</v>
      </c>
      <c r="C89" s="6" t="s">
        <v>52</v>
      </c>
      <c r="D89" s="6">
        <v>0.0</v>
      </c>
      <c r="E89" s="6">
        <v>201005.0</v>
      </c>
      <c r="F89" s="6" t="s">
        <v>215</v>
      </c>
      <c r="G89" s="6" t="s">
        <v>210</v>
      </c>
      <c r="H89" s="32"/>
      <c r="I89" s="32"/>
      <c r="J89" s="32"/>
    </row>
    <row r="90">
      <c r="A90" s="6">
        <v>201005.0</v>
      </c>
      <c r="B90" s="78" t="s">
        <v>216</v>
      </c>
      <c r="C90" s="6" t="s">
        <v>52</v>
      </c>
      <c r="D90" s="6">
        <v>0.0</v>
      </c>
      <c r="E90" s="6">
        <v>201006.0</v>
      </c>
      <c r="F90" s="6" t="s">
        <v>215</v>
      </c>
      <c r="G90" s="6" t="s">
        <v>210</v>
      </c>
      <c r="H90" s="32"/>
      <c r="I90" s="32"/>
      <c r="J90" s="32"/>
    </row>
    <row r="91">
      <c r="A91" s="6">
        <v>201006.0</v>
      </c>
      <c r="B91" s="78" t="s">
        <v>217</v>
      </c>
      <c r="C91" s="6" t="s">
        <v>52</v>
      </c>
      <c r="D91" s="6">
        <v>0.0</v>
      </c>
      <c r="E91" s="6">
        <v>201007.0</v>
      </c>
      <c r="F91" s="32"/>
      <c r="G91" s="32"/>
      <c r="H91" s="32"/>
      <c r="I91" s="32"/>
      <c r="J91" s="32"/>
    </row>
    <row r="92">
      <c r="A92" s="6">
        <v>201007.0</v>
      </c>
      <c r="B92" s="78" t="s">
        <v>218</v>
      </c>
      <c r="C92" s="6" t="s">
        <v>213</v>
      </c>
      <c r="D92" s="6">
        <v>0.0</v>
      </c>
      <c r="E92" s="6">
        <v>201008.0</v>
      </c>
      <c r="F92" s="32"/>
      <c r="G92" s="32"/>
      <c r="H92" s="32"/>
      <c r="I92" s="60" t="s">
        <v>112</v>
      </c>
      <c r="J92" s="60">
        <v>6.5</v>
      </c>
      <c r="K92" s="60">
        <v>0.8</v>
      </c>
    </row>
    <row r="93">
      <c r="A93" s="6">
        <v>201008.0</v>
      </c>
      <c r="B93" s="78" t="s">
        <v>219</v>
      </c>
      <c r="C93" s="6" t="s">
        <v>213</v>
      </c>
      <c r="D93" s="6">
        <v>0.0</v>
      </c>
      <c r="E93" s="6">
        <v>201009.0</v>
      </c>
      <c r="F93" s="32"/>
      <c r="G93" s="32"/>
      <c r="H93" s="32"/>
      <c r="I93" s="60" t="s">
        <v>112</v>
      </c>
      <c r="J93" s="60">
        <v>6.0</v>
      </c>
      <c r="K93" s="60">
        <v>0.8</v>
      </c>
    </row>
    <row r="94">
      <c r="A94" s="6">
        <v>201009.0</v>
      </c>
      <c r="B94" s="78" t="s">
        <v>220</v>
      </c>
      <c r="C94" s="6" t="s">
        <v>111</v>
      </c>
      <c r="D94" s="6">
        <v>0.0</v>
      </c>
      <c r="E94" s="6">
        <v>201010.0</v>
      </c>
      <c r="F94" s="32"/>
      <c r="G94" s="32"/>
      <c r="H94" s="32"/>
      <c r="I94" s="60" t="s">
        <v>115</v>
      </c>
      <c r="J94" s="60">
        <v>0.05</v>
      </c>
      <c r="K94" s="6">
        <v>0.0</v>
      </c>
      <c r="O94" s="4" t="s">
        <v>21</v>
      </c>
      <c r="P94" s="37" t="s">
        <v>116</v>
      </c>
    </row>
    <row r="95">
      <c r="A95" s="6">
        <v>201010.0</v>
      </c>
      <c r="B95" s="78" t="s">
        <v>221</v>
      </c>
      <c r="C95" s="6" t="s">
        <v>213</v>
      </c>
      <c r="D95" s="6">
        <v>0.0</v>
      </c>
      <c r="E95" s="6">
        <v>201011.0</v>
      </c>
      <c r="F95" s="6" t="s">
        <v>215</v>
      </c>
      <c r="G95" s="6" t="s">
        <v>210</v>
      </c>
      <c r="H95" s="32"/>
      <c r="I95" s="6" t="s">
        <v>149</v>
      </c>
      <c r="J95" s="6">
        <v>7.0</v>
      </c>
      <c r="K95" s="6">
        <v>0.8</v>
      </c>
    </row>
    <row r="96">
      <c r="A96" s="6">
        <v>201011.0</v>
      </c>
      <c r="B96" s="79" t="s">
        <v>222</v>
      </c>
      <c r="C96" s="6" t="s">
        <v>52</v>
      </c>
      <c r="D96" s="6">
        <v>0.0</v>
      </c>
      <c r="E96" s="6">
        <v>201012.0</v>
      </c>
      <c r="F96" s="6" t="s">
        <v>104</v>
      </c>
      <c r="G96" s="80" t="s">
        <v>105</v>
      </c>
      <c r="H96" s="32"/>
      <c r="I96" s="32"/>
      <c r="J96" s="32"/>
    </row>
    <row r="97">
      <c r="A97" s="6">
        <v>201012.0</v>
      </c>
      <c r="B97" s="78" t="s">
        <v>223</v>
      </c>
      <c r="C97" s="6" t="s">
        <v>52</v>
      </c>
      <c r="D97" s="6">
        <v>0.0</v>
      </c>
      <c r="E97" s="6">
        <v>201013.0</v>
      </c>
      <c r="F97" s="6" t="s">
        <v>215</v>
      </c>
      <c r="G97" s="6" t="s">
        <v>210</v>
      </c>
      <c r="H97" s="32"/>
      <c r="I97" s="32"/>
      <c r="J97" s="32"/>
    </row>
    <row r="98">
      <c r="A98" s="6">
        <v>201013.0</v>
      </c>
      <c r="B98" s="78" t="s">
        <v>224</v>
      </c>
      <c r="C98" s="6" t="s">
        <v>52</v>
      </c>
      <c r="D98" s="6">
        <v>0.0</v>
      </c>
      <c r="E98" s="6">
        <v>201014.0</v>
      </c>
      <c r="F98" s="6" t="s">
        <v>104</v>
      </c>
      <c r="G98" s="6" t="s">
        <v>225</v>
      </c>
      <c r="H98" s="32"/>
      <c r="I98" s="32"/>
      <c r="J98" s="32"/>
    </row>
    <row r="99">
      <c r="A99" s="6">
        <v>201014.0</v>
      </c>
      <c r="B99" s="78" t="s">
        <v>226</v>
      </c>
      <c r="C99" s="6" t="s">
        <v>52</v>
      </c>
      <c r="D99" s="6">
        <v>0.0</v>
      </c>
      <c r="E99" s="6">
        <v>201015.0</v>
      </c>
      <c r="F99" s="6" t="s">
        <v>215</v>
      </c>
      <c r="G99" s="6" t="s">
        <v>210</v>
      </c>
      <c r="H99" s="32"/>
      <c r="I99" s="32"/>
      <c r="J99" s="32"/>
    </row>
    <row r="100">
      <c r="A100" s="6">
        <v>201015.0</v>
      </c>
      <c r="B100" s="78" t="s">
        <v>227</v>
      </c>
      <c r="C100" s="6" t="s">
        <v>52</v>
      </c>
      <c r="D100" s="6">
        <v>0.0</v>
      </c>
      <c r="E100" s="72">
        <v>201016.0</v>
      </c>
      <c r="F100" s="6" t="s">
        <v>215</v>
      </c>
      <c r="G100" s="6" t="s">
        <v>210</v>
      </c>
      <c r="H100" s="32"/>
      <c r="I100" s="32"/>
      <c r="J100" s="32"/>
    </row>
    <row r="101">
      <c r="A101" s="72">
        <v>201016.0</v>
      </c>
      <c r="B101" s="78" t="s">
        <v>228</v>
      </c>
      <c r="C101" s="6" t="s">
        <v>199</v>
      </c>
      <c r="D101" s="6">
        <v>0.0</v>
      </c>
      <c r="E101" s="6">
        <v>0.0</v>
      </c>
      <c r="F101" s="32"/>
      <c r="G101" s="32"/>
      <c r="H101" s="32"/>
      <c r="I101" s="60" t="s">
        <v>112</v>
      </c>
      <c r="J101" s="60">
        <v>6.0</v>
      </c>
      <c r="K101" s="60">
        <v>0.8</v>
      </c>
      <c r="Q101" s="4" t="s">
        <v>21</v>
      </c>
      <c r="R101" s="4">
        <v>2.0</v>
      </c>
    </row>
    <row r="102">
      <c r="A102" s="72">
        <v>2010161.0</v>
      </c>
      <c r="B102" s="78" t="s">
        <v>229</v>
      </c>
      <c r="C102" s="6" t="s">
        <v>52</v>
      </c>
      <c r="D102" s="6">
        <v>0.0</v>
      </c>
      <c r="E102" s="6">
        <v>201017.0</v>
      </c>
      <c r="F102" s="32"/>
      <c r="G102" s="32"/>
      <c r="H102" s="32"/>
      <c r="I102" s="32"/>
      <c r="J102" s="32"/>
    </row>
    <row r="103">
      <c r="A103" s="72">
        <v>2010162.0</v>
      </c>
      <c r="B103" s="78" t="s">
        <v>230</v>
      </c>
      <c r="C103" s="6" t="s">
        <v>52</v>
      </c>
      <c r="D103" s="6">
        <v>0.0</v>
      </c>
      <c r="E103" s="6">
        <v>201019.0</v>
      </c>
      <c r="F103" s="32"/>
      <c r="G103" s="32"/>
      <c r="H103" s="32"/>
      <c r="I103" s="32"/>
      <c r="J103" s="32"/>
    </row>
    <row r="104">
      <c r="A104" s="72">
        <v>201017.0</v>
      </c>
      <c r="B104" s="78" t="s">
        <v>231</v>
      </c>
      <c r="C104" s="6" t="s">
        <v>52</v>
      </c>
      <c r="D104" s="6">
        <v>0.0</v>
      </c>
      <c r="E104" s="6">
        <v>201018.0</v>
      </c>
      <c r="F104" s="6" t="s">
        <v>215</v>
      </c>
      <c r="G104" s="6" t="s">
        <v>210</v>
      </c>
      <c r="H104" s="32"/>
      <c r="I104" s="6" t="s">
        <v>149</v>
      </c>
      <c r="J104" s="6">
        <v>7.0</v>
      </c>
      <c r="K104" s="6">
        <v>0.8</v>
      </c>
    </row>
    <row r="105">
      <c r="A105" s="72">
        <v>201018.0</v>
      </c>
      <c r="B105" s="6" t="s">
        <v>232</v>
      </c>
      <c r="C105" s="6" t="s">
        <v>52</v>
      </c>
      <c r="D105" s="6">
        <v>0.0</v>
      </c>
      <c r="E105" s="6">
        <v>201016.0</v>
      </c>
      <c r="F105" s="6" t="s">
        <v>215</v>
      </c>
      <c r="G105" s="6" t="s">
        <v>210</v>
      </c>
      <c r="H105" s="32"/>
      <c r="I105" s="32"/>
      <c r="J105" s="32"/>
    </row>
    <row r="106">
      <c r="A106" s="72">
        <v>201019.0</v>
      </c>
      <c r="B106" s="6" t="s">
        <v>233</v>
      </c>
      <c r="C106" s="6" t="s">
        <v>52</v>
      </c>
      <c r="D106" s="6">
        <v>0.0</v>
      </c>
      <c r="E106" s="6">
        <v>201020.0</v>
      </c>
      <c r="F106" s="6" t="s">
        <v>215</v>
      </c>
      <c r="G106" s="6" t="s">
        <v>210</v>
      </c>
      <c r="H106" s="32"/>
      <c r="I106" s="6" t="s">
        <v>149</v>
      </c>
      <c r="J106" s="6">
        <v>7.0</v>
      </c>
      <c r="K106" s="6">
        <v>0.8</v>
      </c>
    </row>
    <row r="107">
      <c r="A107" s="72">
        <v>201020.0</v>
      </c>
      <c r="B107" s="6" t="s">
        <v>234</v>
      </c>
      <c r="C107" s="6" t="s">
        <v>52</v>
      </c>
      <c r="D107" s="6">
        <v>0.0</v>
      </c>
      <c r="E107" s="6">
        <v>201016.0</v>
      </c>
      <c r="F107" s="6" t="s">
        <v>215</v>
      </c>
      <c r="G107" s="6" t="s">
        <v>210</v>
      </c>
      <c r="H107" s="32"/>
      <c r="I107" s="32"/>
      <c r="J107" s="32"/>
    </row>
    <row r="108">
      <c r="A108" s="6">
        <v>201021.0</v>
      </c>
      <c r="B108" s="78" t="s">
        <v>235</v>
      </c>
      <c r="C108" s="6" t="s">
        <v>52</v>
      </c>
      <c r="D108" s="6">
        <v>0.0</v>
      </c>
      <c r="E108" s="6">
        <v>201022.0</v>
      </c>
      <c r="F108" s="6" t="s">
        <v>104</v>
      </c>
      <c r="G108" s="80" t="s">
        <v>110</v>
      </c>
      <c r="H108" s="32"/>
      <c r="I108" s="32"/>
      <c r="J108" s="32"/>
    </row>
    <row r="109">
      <c r="A109" s="6">
        <v>201022.0</v>
      </c>
      <c r="B109" s="78" t="s">
        <v>236</v>
      </c>
      <c r="C109" s="6" t="s">
        <v>237</v>
      </c>
      <c r="D109" s="6">
        <v>0.0</v>
      </c>
      <c r="E109" s="6">
        <v>201023.0</v>
      </c>
      <c r="F109" s="6" t="s">
        <v>215</v>
      </c>
      <c r="G109" s="6" t="s">
        <v>210</v>
      </c>
      <c r="H109" s="32"/>
      <c r="I109" s="32"/>
      <c r="J109" s="32"/>
      <c r="L109" s="6" t="s">
        <v>238</v>
      </c>
      <c r="M109" s="4" t="s">
        <v>239</v>
      </c>
      <c r="N109" s="55" t="s">
        <v>108</v>
      </c>
    </row>
    <row r="110">
      <c r="A110" s="6">
        <v>201023.0</v>
      </c>
      <c r="B110" s="78" t="s">
        <v>240</v>
      </c>
      <c r="C110" s="6" t="s">
        <v>237</v>
      </c>
      <c r="D110" s="6">
        <v>0.0</v>
      </c>
      <c r="E110" s="6">
        <v>201024.0</v>
      </c>
      <c r="F110" s="6" t="s">
        <v>215</v>
      </c>
      <c r="G110" s="6" t="s">
        <v>210</v>
      </c>
      <c r="H110" s="32"/>
      <c r="I110" s="32"/>
      <c r="J110" s="32"/>
      <c r="L110" s="6" t="s">
        <v>238</v>
      </c>
      <c r="M110" s="4" t="s">
        <v>239</v>
      </c>
      <c r="N110" s="55" t="s">
        <v>108</v>
      </c>
    </row>
    <row r="111">
      <c r="A111" s="6">
        <v>201024.0</v>
      </c>
      <c r="B111" s="78" t="s">
        <v>241</v>
      </c>
      <c r="C111" s="6" t="s">
        <v>52</v>
      </c>
      <c r="D111" s="6">
        <v>0.0</v>
      </c>
      <c r="E111" s="6">
        <v>201025.0</v>
      </c>
      <c r="F111" s="6" t="s">
        <v>104</v>
      </c>
      <c r="G111" s="6" t="s">
        <v>171</v>
      </c>
      <c r="H111" s="32"/>
      <c r="I111" s="32"/>
      <c r="J111" s="32"/>
    </row>
    <row r="112">
      <c r="A112" s="6">
        <v>201025.0</v>
      </c>
      <c r="B112" s="78" t="s">
        <v>242</v>
      </c>
      <c r="C112" s="6" t="s">
        <v>52</v>
      </c>
      <c r="D112" s="6">
        <v>0.0</v>
      </c>
      <c r="E112" s="6">
        <v>201026.0</v>
      </c>
      <c r="F112" s="6" t="s">
        <v>215</v>
      </c>
      <c r="G112" s="6" t="s">
        <v>210</v>
      </c>
      <c r="H112" s="32"/>
      <c r="I112" s="32"/>
      <c r="J112" s="32"/>
    </row>
    <row r="113">
      <c r="A113" s="6">
        <v>201026.0</v>
      </c>
      <c r="B113" s="78" t="s">
        <v>243</v>
      </c>
      <c r="C113" s="6" t="s">
        <v>52</v>
      </c>
      <c r="D113" s="6">
        <v>0.0</v>
      </c>
      <c r="E113" s="6">
        <v>201027.0</v>
      </c>
      <c r="F113" s="6" t="s">
        <v>215</v>
      </c>
      <c r="G113" s="6" t="s">
        <v>210</v>
      </c>
      <c r="H113" s="32"/>
      <c r="I113" s="32"/>
      <c r="J113" s="32"/>
    </row>
    <row r="114">
      <c r="A114" s="6">
        <v>201027.0</v>
      </c>
      <c r="B114" s="78" t="s">
        <v>244</v>
      </c>
      <c r="C114" s="6" t="s">
        <v>52</v>
      </c>
      <c r="D114" s="6">
        <v>0.0</v>
      </c>
      <c r="E114" s="6">
        <v>201028.0</v>
      </c>
      <c r="F114" s="6" t="s">
        <v>104</v>
      </c>
      <c r="G114" s="6" t="s">
        <v>106</v>
      </c>
      <c r="H114" s="32"/>
      <c r="I114" s="32"/>
      <c r="J114" s="32"/>
    </row>
    <row r="115">
      <c r="A115" s="6">
        <v>201028.0</v>
      </c>
      <c r="B115" s="78" t="s">
        <v>245</v>
      </c>
      <c r="C115" s="6" t="s">
        <v>52</v>
      </c>
      <c r="D115" s="6">
        <v>0.0</v>
      </c>
      <c r="E115" s="6">
        <v>201029.0</v>
      </c>
      <c r="F115" s="6" t="s">
        <v>215</v>
      </c>
      <c r="G115" s="6" t="s">
        <v>210</v>
      </c>
      <c r="H115" s="32"/>
      <c r="I115" s="32"/>
      <c r="J115" s="32"/>
    </row>
    <row r="116">
      <c r="A116" s="6">
        <v>201029.0</v>
      </c>
      <c r="B116" s="78" t="s">
        <v>246</v>
      </c>
      <c r="C116" s="6" t="s">
        <v>52</v>
      </c>
      <c r="D116" s="6">
        <v>0.0</v>
      </c>
      <c r="E116" s="6">
        <v>201030.0</v>
      </c>
      <c r="F116" s="6" t="s">
        <v>215</v>
      </c>
      <c r="G116" s="6" t="s">
        <v>210</v>
      </c>
      <c r="H116" s="32"/>
      <c r="I116" s="32"/>
      <c r="J116" s="32"/>
    </row>
    <row r="117">
      <c r="A117" s="6">
        <v>201030.0</v>
      </c>
      <c r="B117" s="78" t="s">
        <v>247</v>
      </c>
      <c r="C117" s="6" t="s">
        <v>52</v>
      </c>
      <c r="D117" s="6">
        <v>0.0</v>
      </c>
      <c r="E117" s="6">
        <v>201031.0</v>
      </c>
      <c r="F117" s="6" t="s">
        <v>104</v>
      </c>
      <c r="G117" s="6" t="s">
        <v>158</v>
      </c>
      <c r="H117" s="32"/>
      <c r="I117" s="32"/>
      <c r="J117" s="32"/>
    </row>
    <row r="118">
      <c r="A118" s="6">
        <v>201031.0</v>
      </c>
      <c r="B118" s="78" t="s">
        <v>248</v>
      </c>
      <c r="C118" s="6" t="s">
        <v>52</v>
      </c>
      <c r="D118" s="6">
        <v>0.0</v>
      </c>
      <c r="E118" s="6">
        <v>201032.0</v>
      </c>
      <c r="F118" s="6" t="s">
        <v>215</v>
      </c>
      <c r="G118" s="6" t="s">
        <v>210</v>
      </c>
      <c r="H118" s="32"/>
      <c r="I118" s="32"/>
      <c r="J118" s="32"/>
    </row>
    <row r="119">
      <c r="A119" s="6">
        <v>201032.0</v>
      </c>
      <c r="B119" s="78" t="s">
        <v>249</v>
      </c>
      <c r="C119" s="6" t="s">
        <v>52</v>
      </c>
      <c r="D119" s="6">
        <v>0.0</v>
      </c>
      <c r="E119" s="6">
        <v>201033.0</v>
      </c>
      <c r="F119" s="6" t="s">
        <v>215</v>
      </c>
      <c r="G119" s="6" t="s">
        <v>210</v>
      </c>
      <c r="H119" s="32"/>
      <c r="I119" s="32"/>
      <c r="J119" s="32"/>
    </row>
    <row r="120">
      <c r="A120" s="6">
        <v>201033.0</v>
      </c>
      <c r="B120" s="78" t="s">
        <v>250</v>
      </c>
      <c r="C120" s="6" t="s">
        <v>52</v>
      </c>
      <c r="D120" s="6">
        <v>0.0</v>
      </c>
      <c r="E120" s="6">
        <v>201034.0</v>
      </c>
      <c r="F120" s="6" t="s">
        <v>215</v>
      </c>
      <c r="G120" s="6" t="s">
        <v>210</v>
      </c>
      <c r="H120" s="32"/>
      <c r="I120" s="32"/>
      <c r="J120" s="32"/>
    </row>
    <row r="121">
      <c r="A121" s="6">
        <v>201034.0</v>
      </c>
      <c r="B121" s="78" t="s">
        <v>251</v>
      </c>
      <c r="C121" s="6" t="s">
        <v>213</v>
      </c>
      <c r="D121" s="6">
        <v>0.0</v>
      </c>
      <c r="E121" s="6">
        <v>201035.0</v>
      </c>
      <c r="F121" s="6" t="s">
        <v>215</v>
      </c>
      <c r="G121" s="6" t="s">
        <v>210</v>
      </c>
      <c r="H121" s="4" t="s">
        <v>252</v>
      </c>
      <c r="I121" s="4" t="s">
        <v>119</v>
      </c>
      <c r="J121" s="32"/>
    </row>
    <row r="122">
      <c r="A122" s="72">
        <v>201035.0</v>
      </c>
      <c r="B122" s="78" t="s">
        <v>253</v>
      </c>
      <c r="C122" s="6" t="s">
        <v>40</v>
      </c>
      <c r="D122" s="6">
        <v>0.0</v>
      </c>
      <c r="E122" s="6">
        <v>201036.0</v>
      </c>
      <c r="F122" s="6"/>
      <c r="G122" s="6"/>
      <c r="H122" s="32"/>
      <c r="I122" s="32"/>
      <c r="J122" s="32"/>
    </row>
    <row r="123">
      <c r="A123" s="6">
        <v>201036.0</v>
      </c>
      <c r="B123" s="78" t="s">
        <v>254</v>
      </c>
      <c r="C123" s="6" t="s">
        <v>237</v>
      </c>
      <c r="D123" s="6">
        <v>0.0</v>
      </c>
      <c r="E123" s="6">
        <v>201037.0</v>
      </c>
      <c r="F123" s="6" t="s">
        <v>215</v>
      </c>
      <c r="G123" s="6" t="s">
        <v>210</v>
      </c>
      <c r="H123" s="32"/>
      <c r="I123" s="32"/>
      <c r="J123" s="32"/>
      <c r="L123" s="4" t="s">
        <v>252</v>
      </c>
      <c r="M123" s="4" t="s">
        <v>255</v>
      </c>
      <c r="N123" s="55" t="s">
        <v>102</v>
      </c>
    </row>
    <row r="124">
      <c r="A124" s="6">
        <v>201037.0</v>
      </c>
      <c r="B124" s="78" t="s">
        <v>256</v>
      </c>
      <c r="C124" s="6" t="s">
        <v>52</v>
      </c>
      <c r="D124" s="6">
        <v>0.0</v>
      </c>
      <c r="E124" s="6">
        <v>201038.0</v>
      </c>
      <c r="F124" s="6" t="s">
        <v>104</v>
      </c>
      <c r="G124" s="6" t="s">
        <v>110</v>
      </c>
      <c r="H124" s="6" t="s">
        <v>21</v>
      </c>
      <c r="I124" s="4" t="s">
        <v>119</v>
      </c>
      <c r="J124" s="32"/>
    </row>
    <row r="125">
      <c r="A125" s="6">
        <v>201038.0</v>
      </c>
      <c r="B125" s="78" t="s">
        <v>257</v>
      </c>
      <c r="C125" s="6" t="s">
        <v>32</v>
      </c>
      <c r="D125" s="6">
        <v>0.0</v>
      </c>
      <c r="E125" s="6">
        <v>201039.0</v>
      </c>
      <c r="F125" s="6"/>
      <c r="G125" s="6"/>
      <c r="H125" s="6" t="s">
        <v>238</v>
      </c>
      <c r="I125" s="4" t="s">
        <v>119</v>
      </c>
      <c r="J125" s="32"/>
    </row>
    <row r="126">
      <c r="A126" s="72">
        <v>201039.0</v>
      </c>
      <c r="B126" s="78" t="s">
        <v>258</v>
      </c>
      <c r="C126" s="6" t="s">
        <v>40</v>
      </c>
      <c r="D126" s="6">
        <v>0.0</v>
      </c>
      <c r="E126" s="6">
        <v>201040.0</v>
      </c>
      <c r="F126" s="32"/>
      <c r="G126" s="32"/>
      <c r="H126" s="32"/>
      <c r="I126" s="32"/>
      <c r="J126" s="32"/>
    </row>
    <row r="127">
      <c r="A127" s="6">
        <v>201040.0</v>
      </c>
      <c r="B127" s="78" t="s">
        <v>259</v>
      </c>
      <c r="C127" s="6" t="s">
        <v>111</v>
      </c>
      <c r="D127" s="6">
        <v>0.0</v>
      </c>
      <c r="E127" s="6">
        <v>201041.0</v>
      </c>
      <c r="F127" s="32"/>
      <c r="G127" s="32"/>
      <c r="H127" s="6"/>
      <c r="I127" s="60" t="s">
        <v>112</v>
      </c>
      <c r="J127" s="60">
        <v>6.0</v>
      </c>
      <c r="K127" s="60">
        <v>2.0</v>
      </c>
      <c r="O127" s="6" t="s">
        <v>238</v>
      </c>
      <c r="P127" s="37" t="s">
        <v>113</v>
      </c>
    </row>
    <row r="128">
      <c r="A128" s="6">
        <v>201041.0</v>
      </c>
      <c r="B128" s="78" t="s">
        <v>260</v>
      </c>
      <c r="C128" s="6" t="s">
        <v>55</v>
      </c>
      <c r="D128" s="6">
        <v>0.0</v>
      </c>
      <c r="E128" s="6">
        <v>201042.0</v>
      </c>
      <c r="F128" s="32"/>
      <c r="G128" s="32"/>
      <c r="H128" s="32"/>
      <c r="O128" s="6" t="s">
        <v>238</v>
      </c>
      <c r="P128" s="37" t="s">
        <v>113</v>
      </c>
    </row>
    <row r="129">
      <c r="A129" s="4">
        <v>201042.0</v>
      </c>
      <c r="B129" s="4" t="s">
        <v>261</v>
      </c>
      <c r="C129" s="4" t="s">
        <v>32</v>
      </c>
      <c r="D129" s="4">
        <v>0.0</v>
      </c>
      <c r="E129" s="4">
        <v>201043.0</v>
      </c>
      <c r="I129" s="6" t="s">
        <v>262</v>
      </c>
      <c r="J129" s="32"/>
      <c r="K129" s="4">
        <v>0.5</v>
      </c>
    </row>
    <row r="130">
      <c r="A130" s="6">
        <v>201043.0</v>
      </c>
      <c r="B130" s="78" t="s">
        <v>207</v>
      </c>
      <c r="C130" s="4" t="s">
        <v>18</v>
      </c>
      <c r="D130" s="6">
        <v>0.0</v>
      </c>
      <c r="E130" s="6" t="s">
        <v>161</v>
      </c>
      <c r="F130" s="32"/>
      <c r="G130" s="32"/>
      <c r="H130" s="32"/>
      <c r="I130" s="32"/>
      <c r="J130" s="32"/>
    </row>
    <row r="131">
      <c r="A131" s="6"/>
      <c r="B131" s="81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</row>
  </sheetData>
  <drawing r:id="rId1"/>
</worksheet>
</file>